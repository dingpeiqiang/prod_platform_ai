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项目特征" sheetId="4" r:id="rId1"/>
    <sheet name="规模估算" sheetId="1" r:id="rId2"/>
    <sheet name="开发费用估算" sheetId="2" r:id="rId3"/>
    <sheet name="模板使用说明&amp;基础参数" sheetId="3" r:id="rId4"/>
    <sheet name="其他特殊规则" sheetId="5" r:id="rId5"/>
  </sheets>
  <definedNames>
    <definedName name="_xlnm._FilterDatabase" localSheetId="1" hidden="1">规模估算!$A$5:$O$799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J5" authorId="0">
      <text>
        <r>
          <rPr>
            <sz val="9"/>
            <rFont val="宋体"/>
            <charset val="134"/>
          </rPr>
          <t>请选择重用程度，缺省为“低”。</t>
        </r>
      </text>
    </comment>
    <comment ref="K5" authorId="0">
      <text>
        <r>
          <rPr>
            <sz val="9"/>
            <rFont val="宋体"/>
            <charset val="134"/>
          </rPr>
          <t>请选择修改类型，缺省为“新增”。</t>
        </r>
      </text>
    </comment>
  </commentList>
</comments>
</file>

<file path=xl/sharedStrings.xml><?xml version="1.0" encoding="utf-8"?>
<sst xmlns="http://schemas.openxmlformats.org/spreadsheetml/2006/main" count="7343" uniqueCount="1760">
  <si>
    <t>规模计数时机</t>
  </si>
  <si>
    <t>项目完成及运维阶段</t>
  </si>
  <si>
    <t>填写说明</t>
  </si>
  <si>
    <t>1.评估的是已完成的需求工单，计数时机缺省选择“项目完成及运维阶段”，对于工单评估不允许选其他值；</t>
  </si>
  <si>
    <t>应用类型</t>
  </si>
  <si>
    <t>电信类系统</t>
  </si>
  <si>
    <t>2.应用类型主要区分电信类系统（B域、O域电信行业特有的业务运营/支撑类系统）和非电信类系统（M域非电信行业特有的系统，如人力资源、绩效考核、项目管理、合同管理、综合事务管理、供应链管理等系统）；</t>
  </si>
  <si>
    <t>质量特性</t>
  </si>
  <si>
    <t>分布式处理</t>
  </si>
  <si>
    <t>通过网络进行客户端/服务器及网络基础应用分布处理和传输</t>
  </si>
  <si>
    <t>3.质量特性、完整性级别、开发语言、开发团队背景通常无特殊要求下都选择缺省值；</t>
  </si>
  <si>
    <t>性能</t>
  </si>
  <si>
    <t>应答时间或处理率对高峰时间或所有业务时间来说都很重要，存在对连动系统结束处理时间的限制</t>
  </si>
  <si>
    <t>4.纯粹非功能需求工单按非功能需求估算模板来评估，如非功能需求仅为需求工单的部分内容，按功能需求估算模板来评估，非功能类需求包含在功能需求开发中不单独评估；</t>
  </si>
  <si>
    <t>可靠性</t>
  </si>
  <si>
    <t>发生故障时带来较多不便或经济损失</t>
  </si>
  <si>
    <t>5.规模估算表中，对于已完成的需求工单，规模估算方法缺省选择“估算功能点”，不允许选其他值；</t>
  </si>
  <si>
    <t>多重站点</t>
  </si>
  <si>
    <t>在设计阶段需要考虑不同站点的相似硬件或软件环境下运行需求</t>
  </si>
  <si>
    <t>6.规模估算表中，重用程度的判断规则，参见下表说明，如果所提供的文档中缺少可以判断功能重用程度的数据或相应的描述，则按“中”等复用处理；</t>
  </si>
  <si>
    <t>完整性级别</t>
  </si>
  <si>
    <t>没有明确的完整性级别或等级为C/D</t>
  </si>
  <si>
    <t>7.规模估算表中带有公式，如果要插入行，请先复制一个带公式的空行，再插入复制行，避免结果出错；</t>
  </si>
  <si>
    <t>开发语言</t>
  </si>
  <si>
    <t>JAVA、C++、C#及其他同级别语言/平台</t>
  </si>
  <si>
    <t>8.每个需求工单填写一个估算表，表名称：需求单号-需求概述-功能需求工作量评估表；</t>
  </si>
  <si>
    <t>开发团队背景</t>
  </si>
  <si>
    <t>为本行业开发过类似的软件</t>
  </si>
  <si>
    <t>重用程度</t>
  </si>
  <si>
    <t>判断规则</t>
  </si>
  <si>
    <t>对应值</t>
  </si>
  <si>
    <t>低</t>
  </si>
  <si>
    <t>如果数据功能的数据元素类型改变≥50%，则重用程度为低；</t>
  </si>
  <si>
    <t>如果事务功能的主要处理逻辑发生变化，数据元素类型，访问或维护的逻辑文件数改变≥50%，则重用程度为低。</t>
  </si>
  <si>
    <t>中</t>
  </si>
  <si>
    <t>如果数据功能的数据元素类型改变在20%~50%（含20%且不包含50%），则重用程度为中；</t>
  </si>
  <si>
    <t>2/3</t>
  </si>
  <si>
    <t>如果事务功能的主要处理逻辑发生变化，数据元素类型，访问或维护的逻辑文件数改变在20%~50%（含20%且不包含50%），则重用程度为中。</t>
  </si>
  <si>
    <t>高</t>
  </si>
  <si>
    <t>如果数据功能的数据元素类型改变&lt;20%，则重用程度为高；</t>
  </si>
  <si>
    <t>1/3</t>
  </si>
  <si>
    <t>如果事务功能的主要处理逻辑未发生变化，且数据元素类型，访问或维护的逻辑文件数改变&lt;20%，则重用程度为高。</t>
  </si>
  <si>
    <t>规模估算方法</t>
  </si>
  <si>
    <t>估算功能点</t>
  </si>
  <si>
    <t>项目编号</t>
  </si>
  <si>
    <t>功能点合计(FP)</t>
  </si>
  <si>
    <t>厂商名称</t>
  </si>
  <si>
    <t>调整后功能点(FP)</t>
  </si>
  <si>
    <t>手工填写</t>
  </si>
  <si>
    <t>手工填写，对功能点计数项的补充描述，包含修改内容描述</t>
  </si>
  <si>
    <r>
      <rPr>
        <b/>
        <sz val="9"/>
        <color indexed="8"/>
        <rFont val="宋体"/>
        <charset val="134"/>
      </rPr>
      <t>手工必填</t>
    </r>
    <r>
      <rPr>
        <sz val="9"/>
        <color indexed="8"/>
        <rFont val="宋体"/>
        <charset val="134"/>
      </rPr>
      <t>，根据需求说明按功能点方法识别出基本的功能点计数项</t>
    </r>
  </si>
  <si>
    <r>
      <rPr>
        <b/>
        <sz val="9"/>
        <color indexed="8"/>
        <rFont val="宋体"/>
        <charset val="134"/>
      </rPr>
      <t>下拉选择</t>
    </r>
    <r>
      <rPr>
        <sz val="9"/>
        <color indexed="8"/>
        <rFont val="宋体"/>
        <charset val="134"/>
      </rPr>
      <t>，按功能点方法标准判断</t>
    </r>
  </si>
  <si>
    <t>不需填写，公式计算</t>
  </si>
  <si>
    <r>
      <rPr>
        <b/>
        <sz val="9"/>
        <color indexed="8"/>
        <rFont val="宋体"/>
        <charset val="134"/>
      </rPr>
      <t>下拉选择</t>
    </r>
    <r>
      <rPr>
        <sz val="9"/>
        <color indexed="8"/>
        <rFont val="宋体"/>
        <charset val="134"/>
      </rPr>
      <t>，参考“项目特征”中的重用度判断规则说明</t>
    </r>
  </si>
  <si>
    <r>
      <rPr>
        <b/>
        <sz val="9"/>
        <color indexed="8"/>
        <rFont val="宋体"/>
        <charset val="134"/>
      </rPr>
      <t>下拉选择</t>
    </r>
    <r>
      <rPr>
        <sz val="9"/>
        <color indexed="8"/>
        <rFont val="宋体"/>
        <charset val="134"/>
      </rPr>
      <t>，分为新增、修改、删除</t>
    </r>
  </si>
  <si>
    <t>可选填写，对本条工作项内容的补充说明</t>
  </si>
  <si>
    <t>填报人员不需填写，审核人员将L列评估结果以值拷贝的方式复制到N列；</t>
  </si>
  <si>
    <t>可选填写，对本条工作项内容的审核说明</t>
  </si>
  <si>
    <t>编号</t>
  </si>
  <si>
    <t>子系统</t>
  </si>
  <si>
    <t>一级模块</t>
  </si>
  <si>
    <t>二级模块</t>
  </si>
  <si>
    <t>三级模块</t>
  </si>
  <si>
    <t>功能项描述</t>
  </si>
  <si>
    <t>功能点计数项名称</t>
  </si>
  <si>
    <t>类别</t>
  </si>
  <si>
    <t>UFP</t>
  </si>
  <si>
    <t>修改类型</t>
  </si>
  <si>
    <t>US</t>
  </si>
  <si>
    <t>填报备注</t>
  </si>
  <si>
    <t>填报规模</t>
  </si>
  <si>
    <t>审核备注</t>
  </si>
  <si>
    <t>产商品中心</t>
  </si>
  <si>
    <t>营销活动配置</t>
  </si>
  <si>
    <t>营销活动配置管理</t>
  </si>
  <si>
    <t>5G金币营销活动档位信息在产商品中心中维护和存储，支持业务人员对数据做维护管理，数据主要字段包括：档位类型、是否启用、启用状态、档位编码、活动编码、排序号等；同时数据提供给营销活动配置管理业务引用。本次涉及调整修改内容为调整相关字段以适配营销活动业务变更需求。</t>
  </si>
  <si>
    <t>5G金币营销活动档位信息</t>
  </si>
  <si>
    <t>ILF</t>
  </si>
  <si>
    <t>修改</t>
  </si>
  <si>
    <t>作为业务人员，当需要查询5G金币营销活动档位信息时，能够通过此功能查出地市编码、渠道类型、用户标识、服务号码、活动编号等信息，以便于快速获取营销活动相关信息。本次涉及调整修改内容为优化5G金币营销活动档位信息查询功能。</t>
  </si>
  <si>
    <t>5G金币营销活动档位信息查询</t>
  </si>
  <si>
    <t>EQ</t>
  </si>
  <si>
    <t>作为业务人员，当需要删除5G金币营销活动档位信息时，能够通过此功能删除5G金币营销活动档位信息，以便于清理失效的营销活动配置数据。本次涉及调整修改内容为新增5G金币营销活动档位信息删除处理逻辑，支持通过5G金币营销活动档位信息编号删除指定记录。</t>
  </si>
  <si>
    <t>5G金币营销活动档位信息删除</t>
  </si>
  <si>
    <t>EI</t>
  </si>
  <si>
    <t>作为业务人员，当需要新增5G金币营销活动档位信息时，能够通过此功能新增5G金币营销活动档位信息，以便于及时配置营销活动相关数据。本次涉及调整修改内容为新增5G金币营销活动档位信息新增处理逻辑，支持编号、名称、类型、状态、操作人员等内容的录入。</t>
  </si>
  <si>
    <t>5G金币营销活动档位信息新增</t>
  </si>
  <si>
    <t>作为业务人员，当需要修改5G金币营销活动档位信息时，能够通过此功能修改5G金币营销活动档位信息，以便于及时更新营销活动相关数据。本次涉及调整修改内容为调整渠道类型、用户标识、服务号码、工单号等业务处理逻辑以满足营销活动配置管理需求。</t>
  </si>
  <si>
    <t>5G金币营销活动档位信息修改</t>
  </si>
  <si>
    <t>5G金币营销活动合约信息在产商品中心中维护和存储，支持业务人员对数据做维护管理，数据主要字段包括：地市编码、渠道类型、用户标识、服务号码、活动编号、方式编号、营业厅编号、操作员ID、工单号、订单编号等；同时数据提供给营销活动配置管理业务引用。本次涉及调整修改内容为调整相关字段以适配营销活动业务变更需求。</t>
  </si>
  <si>
    <t>5G金币营销活动合约信息</t>
  </si>
  <si>
    <t>作为业务人员，当需要查询5G金币营销活动合约信息时，能够通过此功能查出地市编码、渠道类型、用户标识、服务号码、活动编号等信息，以便于快速获取营销活动相关信息。本次涉及调整修改内容为优化5G金币营销活动合约信息查询功能。</t>
  </si>
  <si>
    <t>5G金币营销活动合约信息查询</t>
  </si>
  <si>
    <t>作为业务人员，当需要删除5G金币营销活动合约信息时，能够通过此功能删除5G金币营销活动合约信息，以便于清理失效的营销活动配置数据。本次涉及调整修改内容为新增5G金币营销活动合约信息删除处理逻辑，支持通过5G金币营销活动合约信息编号删除指定记录。</t>
  </si>
  <si>
    <t>5G金币营销活动合约信息删除</t>
  </si>
  <si>
    <t>作为业务人员，当需要新增5G金币营销活动合约信息时，能够通过此功能新增5G金币营销活动合约信息，以便于及时配置营销活动相关数据。本次涉及调整修改内容为新增5G金币营销活动合约信息新增处理逻辑，支持编号、名称、类型、状态、操作人员等内容的录入。</t>
  </si>
  <si>
    <t>5G金币营销活动合约信息新增</t>
  </si>
  <si>
    <t>作为业务人员，当需要修改5G金币营销活动合约信息时，能够通过此功能修改5G金币营销活动合约信息，以便于及时更新营销活动相关数据。本次涉及调整修改内容为调整渠道类型、用户标识、服务号码、工单号等业务处理逻辑以满足营销活动配置管理需求。</t>
  </si>
  <si>
    <t>5G金币营销活动合约信息修改</t>
  </si>
  <si>
    <t>5G金币营销活动渠道信息在产商品中心中维护和存储，支持业务人员对数据做维护管理，数据主要字段包括：渠道分组、编码、渠道状态、区县编码、状态、渠道类型等；同时数据提供给营销活动配置管理业务引用。本次涉及调整修改内容为调整相关字段以适配营销活动业务变更需求。</t>
  </si>
  <si>
    <t>5G金币营销活动渠道信息</t>
  </si>
  <si>
    <t>作为业务人员，当需要查询5G金币营销活动渠道信息时，能够通过此功能查出地市编码、渠道类型、用户标识、服务号码、活动编号等信息，以便于快速获取营销活动相关信息。本次涉及调整修改内容为优化5G金币营销活动渠道信息查询功能。</t>
  </si>
  <si>
    <t>5G金币营销活动渠道信息查询</t>
  </si>
  <si>
    <t>作为业务人员，当需要删除5G金币营销活动渠道信息时，能够通过此功能删除5G金币营销活动渠道信息，以便于清理失效的营销活动配置数据。本次涉及调整修改内容为新增5G金币营销活动渠道信息删除处理逻辑，支持通过5G金币营销活动渠道信息编号删除指定记录。</t>
  </si>
  <si>
    <t>5G金币营销活动渠道信息删除</t>
  </si>
  <si>
    <t>作为业务人员，当需要新增5G金币营销活动渠道信息时，能够通过此功能新增5G金币营销活动渠道信息，以便于及时配置营销活动相关数据。本次涉及调整修改内容为新增5G金币营销活动渠道信息新增处理逻辑，支持编号、名称、类型、状态、操作人员等内容的录入。</t>
  </si>
  <si>
    <t>5G金币营销活动渠道信息新增</t>
  </si>
  <si>
    <t>作为业务人员，当需要修改5G金币营销活动渠道信息时，能够通过此功能修改5G金币营销活动渠道信息，以便于及时更新营销活动相关数据。本次涉及调整修改内容为调整渠道类型、用户标识、服务号码、工单号等业务处理逻辑以满足营销活动配置管理需求。</t>
  </si>
  <si>
    <t>5G金币营销活动渠道信息修改</t>
  </si>
  <si>
    <t>5G金币营销活动销售规则信息在产商品中心中维护和存储，支持业务人员对数据做维护管理，数据主要字段包括：任务执行编号、号码类型、服务号码、用户标识、地市编码、终端型号、终端名称、机款、终端实收款、终端IMEI号码等；同时数据提供给营销活动配置管理业务引用。本次涉及调整修改内容为调整相关字段以适配营销活动业务变更需求。</t>
  </si>
  <si>
    <t>5G金币营销活动销售规则信息</t>
  </si>
  <si>
    <t>作为业务人员，当需要查询5G金币营销活动销售规则信息时，能够通过此功能查出任务执行编号、号码类型、服务号码、用户标识、地市编码等信息，以便于快速获取营销活动相关信息。本次涉及调整修改内容为优化5G金币营销活动销售规则信息查询功能。</t>
  </si>
  <si>
    <t>5G金币营销活动销售规则信息查询</t>
  </si>
  <si>
    <t>作为业务人员，当需要删除5G金币营销活动销售规则信息时，能够通过此功能删除5G金币营销活动销售规则信息，以便于清理失效的营销活动配置数据。本次涉及调整修改内容为新增5G金币营销活动销售规则信息删除处理逻辑，支持通过5G金币营销活动销售规则信息编号删除指定记录。</t>
  </si>
  <si>
    <t>5G金币营销活动销售规则信息删除</t>
  </si>
  <si>
    <t>作为业务人员，当需要新增5G金币营销活动销售规则信息时，能够通过此功能新增5G金币营销活动销售规则信息，以便于及时配置营销活动相关数据。本次涉及调整修改内容为新增5G金币营销活动销售规则信息新增处理逻辑，支持编号、名称、类型、状态、操作人员等内容的录入。</t>
  </si>
  <si>
    <t>5G金币营销活动销售规则信息新增</t>
  </si>
  <si>
    <t>作为业务人员，当需要修改5G金币营销活动销售规则信息时，能够通过此功能修改5G金币营销活动销售规则信息，以便于及时更新营销活动相关数据。本次涉及调整修改内容为调整号码类型、服务号码、用户标识、终端型号等业务处理逻辑以满足营销活动配置管理需求。</t>
  </si>
  <si>
    <t>5G金币营销活动销售规则信息修改</t>
  </si>
  <si>
    <t>5G金币营销活动信息在产商品中心中维护和存储，支持业务人员对数据做维护管理，数据主要字段包括：活动、地市编码、活动属性标识、活动属性、活动属性名称、活动属性值、活动属性描述、大数据增量同步标识等；同时数据提供给营销活动配置管理业务引用。本次涉及调整修改内容为调整相关字段以适配营销活动业务变更需求。</t>
  </si>
  <si>
    <t>5G金币营销活动信息</t>
  </si>
  <si>
    <t>作为业务人员，当需要查询5G金币营销活动信息时，能够通过此功能查出活动、地市编码、活动属性标识、活动属性、活动属性名称等信息，以便于快速获取营销活动相关信息。本次涉及调整修改内容为优化5G金币营销活动信息查询功能。</t>
  </si>
  <si>
    <t>5G金币营销活动信息查询</t>
  </si>
  <si>
    <t>作为业务人员，当需要删除5G金币营销活动信息时，能够通过此功能删除5G金币营销活动信息，以便于清理失效的营销活动配置数据。本次涉及调整修改内容为新增5G金币营销活动信息删除处理逻辑，支持通过5G金币营销活动信息编号删除指定记录。</t>
  </si>
  <si>
    <t>5G金币营销活动信息删除</t>
  </si>
  <si>
    <t>作为业务人员，当需要新增5G金币营销活动信息时，能够通过此功能新增5G金币营销活动信息，以便于及时配置营销活动相关数据。本次涉及调整修改内容为新增5G金币营销活动信息新增处理逻辑，支持编号、名称、类型、状态、操作人员等内容的录入。</t>
  </si>
  <si>
    <t>5G金币营销活动信息新增</t>
  </si>
  <si>
    <t>作为业务人员，当需要修改5G金币营销活动信息时，能够通过此功能修改5G金币营销活动信息，以便于及时更新营销活动相关数据。本次涉及调整修改内容为调整活动、活动属性标识、活动属性、活动属性名称等业务处理逻辑以满足营销活动配置管理需求。</t>
  </si>
  <si>
    <t>5G金币营销活动信息修改</t>
  </si>
  <si>
    <t>营销活动审批</t>
  </si>
  <si>
    <t>营销活动审批流程管理</t>
  </si>
  <si>
    <t>5G金币营销活动审批信息在产商品中心中维护和存储，支持业务人员对数据做维护管理，数据主要字段包括：审批流水、业务编号、业务类型、业务操作人工号、业务操作时间、组织机构编码、审批描述信息、控制审批序号、审批状态、审批批次号等；同时数据提供给营销活动审批流程管理业务引用。本次涉及调整修改内容为调整相关字段以适配营销活动业务变更需求。</t>
  </si>
  <si>
    <t>5G金币营销活动审批信息</t>
  </si>
  <si>
    <t>作为业务人员，当需要查看5G金币营销活动审批信息报表时，能够通过此功能查看5G金币营销活动审批信息报表数据，以便于及时了解营销活动审批情况。本次涉及调整修改内容为调整报表统计业务处理逻辑。</t>
  </si>
  <si>
    <t>5G金币营销活动审批信息报表</t>
  </si>
  <si>
    <t>EO</t>
  </si>
  <si>
    <t>作为业务人员，当需要查询5G金币营销活动审批信息时，能够通过此功能查出审批流水、业务编号、业务类型、业务操作人工号、业务操作时间等信息，以便于快速获取营销活动相关信息。本次涉及调整修改内容为优化5G金币营销活动审批信息查询功能。</t>
  </si>
  <si>
    <t>5G金币营销活动审批信息查询</t>
  </si>
  <si>
    <t>作为业务人员，当需要删除5G金币营销活动审批信息时，能够通过此功能删除5G金币营销活动审批信息，以便于清理失效的营销活动配置数据。本次涉及调整修改内容为新增5G金币营销活动审批信息删除处理逻辑，支持通过5G金币营销活动审批信息编号删除指定记录。</t>
  </si>
  <si>
    <t>5G金币营销活动审批信息删除</t>
  </si>
  <si>
    <t>作为业务人员，当需要新增5G金币营销活动审批信息时，能够通过此功能新增5G金币营销活动审批信息，以便于及时配置营销活动相关数据。本次涉及调整修改内容为新增5G金币营销活动审批信息新增处理逻辑，支持编号、名称、类型、状态、操作人员等内容的录入。</t>
  </si>
  <si>
    <t>5G金币营销活动审批信息新增</t>
  </si>
  <si>
    <t>作为业务人员，当需要修改5G金币营销活动审批信息时，能够通过此功能修改5G金币营销活动审批信息，以便于及时更新营销活动相关数据。本次涉及调整修改内容为调整业务类型、业务操作人工号、业务操作时间、审批描述信息等业务处理逻辑以满足营销活动配置管理需求。</t>
  </si>
  <si>
    <t>5G金币营销活动审批信息修改</t>
  </si>
  <si>
    <t>营销活动验证</t>
  </si>
  <si>
    <t>营销活动信息核查</t>
  </si>
  <si>
    <t>5G金币营销活动核查信息在产商品中心中维护和存储，支持业务人员对数据做维护管理，数据主要字段包括：状态、验证编码、描述、名称、排序号、标签等，本次涉及调整修改内容为5G金币营销活动验证信息等；同时数据提供给营销活动信息核查业务引用。本次涉及调整修改内容为调整相关字段以适配营销活动业务变更需求。</t>
  </si>
  <si>
    <t>5G金币营销活动核查信息</t>
  </si>
  <si>
    <t>作为业务人员，当需要查询5G金币营销活动核查信息时，能够通过此功能查出地市编码、渠道类型、用户标识、服务号码、活动编号等信息，以便于快速获取营销活动相关信息。本次涉及调整修改内容为优化5G金币营销活动核查信息查询功能。</t>
  </si>
  <si>
    <t>5G金币营销活动核查信息查询</t>
  </si>
  <si>
    <t>作为业务人员，当需要删除5G金币营销活动核查信息时，能够通过此功能删除5G金币营销活动核查信息，以便于清理失效的营销活动配置数据。本次涉及调整修改内容为新增5G金币营销活动核查信息删除处理逻辑，支持通过5G金币营销活动验证信息编号删除指定记录。</t>
  </si>
  <si>
    <t>5G金币营销活动核查信息删除</t>
  </si>
  <si>
    <t>作为业务人员，当需要新增5G金币营销活动核查信息时，能够通过此功能新增5G金币营销活动核查信息，以便于及时配置营销活动相关数据。本次涉及调整修改内容为新增5G金币营销活动核查信息新增处理逻辑，支持编号、名称、类型、状态、操作人员等内容的录入。</t>
  </si>
  <si>
    <t>5G金币营销活动核查信息新增</t>
  </si>
  <si>
    <t>营销模板配置</t>
  </si>
  <si>
    <t>营销活动模板配置</t>
  </si>
  <si>
    <t>5G金币营销模板信息在产商品中心中维护和存储，支持业务人员对数据做维护管理，数据主要字段包括：交易ID、用户号码、请求子订单号、应答编码、应答描述、退货单号、应答子订单号、金币是否同步从客户账户失效等；同时数据提供给营销活动模板配置业务引用。本次涉及调整修改内容为调整相关字段以适配营销活动业务变更需求。</t>
  </si>
  <si>
    <t>5G金币营销模板信息</t>
  </si>
  <si>
    <t>作为业务人员，当需要查询5G金币营销模板信息时，能够通过此功能查出交易ID、用户号码、请求子订单号、应答编码、应答描述等信息，以便于快速获取营销活动相关信息。本次涉及调整修改内容为优化5G金币营销模板信息查询功能。</t>
  </si>
  <si>
    <t>5G金币营销模板信息查询</t>
  </si>
  <si>
    <t>作为业务人员，当需要删除5G金币营销模板信息时，能够通过此功能删除5G金币营销模板信息，以便于清理失效的营销活动配置数据。本次涉及调整修改内容为新增5G金币营销模板信息删除处理逻辑，支持通过5G金币营销模板信息编号删除指定记录。</t>
  </si>
  <si>
    <t>5G金币营销模板信息删除</t>
  </si>
  <si>
    <t>作为业务人员，当需要新增5G金币营销模板信息时，能够通过此功能新增5G金币营销模板信息，以便于及时配置营销活动相关数据。本次涉及调整修改内容为新增5G金币营销模板信息新增处理逻辑，支持编号、名称、类型、状态、操作人员等内容的录入。</t>
  </si>
  <si>
    <t>5G金币营销模板信息新增</t>
  </si>
  <si>
    <t>作为业务人员，当需要修改5G金币营销模板信息时，能够通过此功能修改5G金币营销模板信息，以便于及时更新营销活动相关数据。本次涉及调整修改内容为调整用户号码、请求子订单号、应答描述、退货单号等业务处理逻辑以满足营销活动配置管理需求。</t>
  </si>
  <si>
    <t>5G金币营销模板信息修改</t>
  </si>
  <si>
    <t>保底营销活动审批信息在产商品中心中维护和存储，支持业务人员对数据做维护管理，数据主要字段包括：审批时间、审批状态、更新时间、删除标识、主键ID、上级审批人等；同时数据提供给营销活动审批流程管理业务引用。本次涉及调整修改内容为调整相关字段以适配营销活动业务变更需求。</t>
  </si>
  <si>
    <t>保底营销活动审批信息</t>
  </si>
  <si>
    <t>作为业务人员，当需要查看保底营销活动审批信息报表时，能够通过此功能查看保底营销活动审批信息报表数据，以便于及时了解营销活动审批情况。本次涉及调整修改内容为调整报表统计业务处理逻辑。</t>
  </si>
  <si>
    <t>保底营销活动审批信息报表</t>
  </si>
  <si>
    <t>作为业务人员，当需要查询保底营销活动审批信息时，能够通过此功能查出审批流水、业务编号、业务类型、业务操作人工号、业务操作时间等信息，以便于快速获取营销活动相关信息。本次涉及调整修改内容为优化保底营销活动审批信息查询功能。</t>
  </si>
  <si>
    <t>保底营销活动审批信息查询</t>
  </si>
  <si>
    <t>作为业务人员，当需要删除保底营销活动审批信息时，能够通过此功能删除保底营销活动审批信息，以便于清理失效的营销活动配置数据。本次涉及调整修改内容为新增保底营销活动审批信息删除处理逻辑，支持通过保底营销活动审批信息编号删除指定记录。</t>
  </si>
  <si>
    <t>保底营销活动审批信息删除</t>
  </si>
  <si>
    <t>作为业务人员，当需要新增保底营销活动审批信息时，能够通过此功能新增保底营销活动审批信息，以便于及时配置营销活动相关数据。本次涉及调整修改内容为新增保底营销活动审批信息新增处理逻辑，支持编号、名称、类型、状态、操作人员等内容的录入。</t>
  </si>
  <si>
    <t>保底营销活动审批信息新增</t>
  </si>
  <si>
    <t>作为业务人员，当需要修改保底营销活动审批信息时，能够通过此功能修改保底营销活动审批信息，以便于及时更新营销活动相关数据。本次涉及调整修改内容为调整业务类型、业务操作人工号、业务操作时间、审批描述信息等业务处理逻辑以满足营销活动配置管理需求。</t>
  </si>
  <si>
    <t>保底营销活动审批信息修改</t>
  </si>
  <si>
    <t>保底营销活动核查信息在产商品中心中维护和存储，支持业务人员对数据做维护管理，数据主要字段包括：验证规则、验证名称、备注、主键ID、验证渠道、验证状态等，本次涉及调整修改内容为保底营销活动验证信息等；同时数据提供给营销活动信息核查业务引用。本次涉及调整修改内容为调整相关字段以适配营销活动业务变更需求。</t>
  </si>
  <si>
    <t>保底营销活动核查信息</t>
  </si>
  <si>
    <t>作为业务人员，当需要查询保底营销活动核查信息时，能够通过此功能查出活动、地市编码、活动属性标识、活动属性、活动属性名称等信息，以便于快速获取营销活动相关信息。本次涉及调整修改内容为优化保底营销活动核查信息查询功能。</t>
  </si>
  <si>
    <t>保底营销活动核查信息查询</t>
  </si>
  <si>
    <t>作为业务人员，当需要删除保底营销活动核查信息时，能够通过此功能删除保底营销活动核查信息，以便于清理失效的营销活动配置数据。本次涉及调整修改内容为新增保底营销活动核查信息删除处理逻辑，支持通过保底营销活动验证信息编号删除指定记录。</t>
  </si>
  <si>
    <t>保底营销活动核查信息删除</t>
  </si>
  <si>
    <t>作为业务人员，当需要新增保底营销活动核查信息时，能够通过此功能新增保底营销活动核查信息，以便于及时配置营销活动相关数据。本次涉及调整修改内容为新增保底营销活动核查信息新增处理逻辑，支持编号、名称、类型、状态、操作人员等内容的录入。</t>
  </si>
  <si>
    <t>保底营销活动核查信息新增</t>
  </si>
  <si>
    <t>保底营销模板信息在产商品中心中维护和存储，支持业务人员对数据做维护管理，数据主要字段包括：归属部门、是否有效、创建人、删除标识、主键ID、更新时间等；同时数据提供给营销活动模板配置业务引用。本次涉及调整修改内容为调整相关字段以适配营销活动业务变更需求。</t>
  </si>
  <si>
    <t>保底营销模板信息</t>
  </si>
  <si>
    <t>作为业务人员，当需要查询保底营销模板信息时，能够通过此功能查出营销活动编码、营销活动名称、营销活动类型、业务类型、营销活动小类编码等信息，以便于快速获取营销活动相关信息。本次涉及调整修改内容为优化保底营销模板信息查询功能。</t>
  </si>
  <si>
    <t>保底营销模板信息查询</t>
  </si>
  <si>
    <t>作为业务人员，当需要删除保底营销模板信息时，能够通过此功能删除保底营销模板信息，以便于清理失效的营销活动配置数据。本次涉及调整修改内容为新增保底营销模板信息删除处理逻辑，支持通过保底营销模板信息编号删除指定记录。</t>
  </si>
  <si>
    <t>保底营销模板信息删除</t>
  </si>
  <si>
    <t>作为业务人员，当需要新增保底营销模板信息时，能够通过此功能新增保底营销模板信息，以便于及时配置营销活动相关数据。本次涉及调整修改内容为新增保底营销模板信息新增处理逻辑，支持编号、名称、类型、状态、操作人员等内容的录入。</t>
  </si>
  <si>
    <t>保底营销模板信息新增</t>
  </si>
  <si>
    <t>作为业务人员，当需要修改保底营销模板信息时，能够通过此功能修改保底营销模板信息，以便于及时更新营销活动相关数据。本次涉及调整修改内容为调整营销活动名称、营销活动类型、业务类型、营销活动描述信息等业务处理逻辑以满足营销活动配置管理需求。</t>
  </si>
  <si>
    <t>保底营销模板信息修改</t>
  </si>
  <si>
    <t>保底营销活动档位信息在产商品中心中维护和存储，支持业务人员对数据做维护管理，数据主要字段包括：开始日期、活动名称、状态、排序号、短信回复码、最低消费等；同时数据提供给营销活动配置管理业务引用。本次涉及调整修改内容为调整相关字段以适配营销活动业务变更需求。</t>
  </si>
  <si>
    <t>保底营销活动档位信息</t>
  </si>
  <si>
    <t>作为业务人员，当需要查询保底营销活动档位信息时，能够通过此功能查出营销活动档位编码、营销活动档位名称、活动编码、是否有效、开始日期等信息，以便于快速获取营销活动相关信息。本次涉及调整修改内容为优化保底营销活动档位信息查询功能。</t>
  </si>
  <si>
    <t>保底营销活动档位信息查询</t>
  </si>
  <si>
    <t>作为业务人员，当需要删除保底营销活动档位信息时，能够通过此功能删除保底营销活动档位信息，以便于清理失效的营销活动配置数据。本次涉及调整修改内容为新增保底营销活动档位信息删除处理逻辑，支持通过保底营销活动档位信息编号删除指定记录。</t>
  </si>
  <si>
    <t>保底营销活动档位信息删除</t>
  </si>
  <si>
    <t>作为业务人员，当需要新增保底营销活动档位信息时，能够通过此功能新增保底营销活动档位信息，以便于及时配置营销活动相关数据。本次涉及调整修改内容为新增保底营销活动档位信息新增处理逻辑，支持编号、名称、类型、状态、操作人员等内容的录入。</t>
  </si>
  <si>
    <t>保底营销活动档位信息新增</t>
  </si>
  <si>
    <t>作为业务人员，当需要修改保底营销活动档位信息时，能够通过此功能修改保底营销活动档位信息，以便于及时更新营销活动相关数据。本次涉及调整修改内容为调整营销活动档位名称、是否有效、开始日期、结束日期等业务处理逻辑以满足营销活动配置管理需求。</t>
  </si>
  <si>
    <t>保底营销活动档位信息修改</t>
  </si>
  <si>
    <t>保底营销活动合约信息在产商品中心中维护和存储，支持业务人员对数据做维护管理，数据主要字段包括：创建时间、返还周期、合约类型、客户编码、月返还金额、合约编码等；同时数据提供给营销活动配置管理业务引用。本次涉及调整修改内容为调整相关字段以适配营销活动业务变更需求。</t>
  </si>
  <si>
    <t>保底营销活动合约信息</t>
  </si>
  <si>
    <t>作为业务人员，当需要查询保底营销活动合约信息时，能够通过此功能查出活动、地市编码、活动属性标识、活动属性、活动属性名称等信息，以便于快速获取营销活动相关信息。本次涉及调整修改内容为优化保底营销活动合约信息查询功能。</t>
  </si>
  <si>
    <t>保底营销活动合约信息查询</t>
  </si>
  <si>
    <t>作为业务人员，当需要删除保底营销活动合约信息时，能够通过此功能删除保底营销活动合约信息，以便于清理失效的营销活动配置数据。本次涉及调整修改内容为新增保底营销活动合约信息删除处理逻辑，支持通过保底营销活动合约信息编号删除指定记录。</t>
  </si>
  <si>
    <t>保底营销活动合约信息删除</t>
  </si>
  <si>
    <t>作为业务人员，当需要新增保底营销活动合约信息时，能够通过此功能新增保底营销活动合约信息，以便于及时配置营销活动相关数据。本次涉及调整修改内容为新增保底营销活动合约信息新增处理逻辑，支持编号、名称、类型、状态、操作人员等内容的录入。</t>
  </si>
  <si>
    <t>保底营销活动合约信息新增</t>
  </si>
  <si>
    <t>作为业务人员，当需要修改保底营销活动合约信息时，能够通过此功能修改保底营销活动合约信息，以便于及时更新营销活动相关数据。本次涉及调整修改内容为调整活动、活动属性标识、活动属性、活动属性名称等业务处理逻辑以满足营销活动配置管理需求。</t>
  </si>
  <si>
    <t>保底营销活动合约信息修改</t>
  </si>
  <si>
    <t>保底营销活动渠道信息在产商品中心中维护和存储，支持业务人员对数据做维护管理，数据主要字段包括：联系人、删除标识、联系电话、创建时间、备注、标签等；同时数据提供给营销活动配置管理业务引用。本次涉及调整修改内容为调整相关字段以适配营销活动业务变更需求。</t>
  </si>
  <si>
    <t>保底营销活动渠道信息</t>
  </si>
  <si>
    <t>作为业务人员，当需要查询保底营销活动渠道信息时，能够通过此功能查出活动、地市编码、活动属性标识、活动属性、活动属性名称等信息，以便于快速获取营销活动相关信息。本次涉及调整修改内容为优化保底营销活动渠道信息查询功能。</t>
  </si>
  <si>
    <t>保底营销活动渠道信息查询</t>
  </si>
  <si>
    <t>作为业务人员，当需要删除保底营销活动渠道信息时，能够通过此功能删除保底营销活动渠道信息，以便于清理失效的营销活动配置数据。本次涉及调整修改内容为新增保底营销活动渠道信息删除处理逻辑，支持通过保底营销活动渠道信息编号删除指定记录。</t>
  </si>
  <si>
    <t>保底营销活动渠道信息删除</t>
  </si>
  <si>
    <t>作为业务人员，当需要新增保底营销活动渠道信息时，能够通过此功能新增保底营销活动渠道信息，以便于及时配置营销活动相关数据。本次涉及调整修改内容为新增保底营销活动渠道信息新增处理逻辑，支持编号、名称、类型、状态、操作人员等内容的录入。</t>
  </si>
  <si>
    <t>保底营销活动渠道信息新增</t>
  </si>
  <si>
    <t>作为业务人员，当需要修改保底营销活动渠道信息时，能够通过此功能修改保底营销活动渠道信息，以便于及时更新营销活动相关数据。本次涉及调整修改内容为调整活动、活动属性标识、活动属性、活动属性名称等业务处理逻辑以满足营销活动配置管理需求。</t>
  </si>
  <si>
    <t>保底营销活动渠道信息修改</t>
  </si>
  <si>
    <t>保底营销活动销售规则信息在产商品中心中维护和存储，支持业务人员对数据做维护管理，数据主要字段包括：规则版本、更新人、是否启用、版本号、规则类型、更新时间等；同时数据提供给营销活动配置管理业务引用。本次涉及调整修改内容为调整相关字段以适配营销活动业务变更需求。</t>
  </si>
  <si>
    <t>保底营销活动销售规则信息</t>
  </si>
  <si>
    <t>作为业务人员，当需要查询保底营销活动销售规则信息时，能够通过此功能查出地市编码、渠道类型、用户标识、服务号码、活动编号等信息，以便于快速获取营销活动相关信息。本次涉及调整修改内容为优化保底营销活动销售规则信息查询功能。</t>
  </si>
  <si>
    <t>保底营销活动销售规则信息查询</t>
  </si>
  <si>
    <t>作为业务人员，当需要删除保底营销活动销售规则信息时，能够通过此功能删除保底营销活动销售规则信息，以便于清理失效的营销活动配置数据。本次涉及调整修改内容为新增保底营销活动销售规则信息删除处理逻辑，支持通过保底营销活动销售规则信息编号删除指定记录。</t>
  </si>
  <si>
    <t>保底营销活动销售规则信息删除</t>
  </si>
  <si>
    <t>作为业务人员，当需要新增保底营销活动销售规则信息时，能够通过此功能新增保底营销活动销售规则信息，以便于及时配置营销活动相关数据。本次涉及调整修改内容为新增保底营销活动销售规则信息新增处理逻辑，支持编号、名称、类型、状态、操作人员等内容的录入。</t>
  </si>
  <si>
    <t>保底营销活动销售规则信息新增</t>
  </si>
  <si>
    <t>作为业务人员，当需要修改保底营销活动销售规则信息时，能够通过此功能修改保底营销活动销售规则信息，以便于及时更新营销活动相关数据。本次涉及调整修改内容为调整渠道类型、用户标识、服务号码、工单号等业务处理逻辑以满足营销活动配置管理需求。</t>
  </si>
  <si>
    <t>保底营销活动销售规则信息修改</t>
  </si>
  <si>
    <t>保底营销活动信息在产商品中心中维护和存储，支持业务人员对数据做维护管理，数据主要字段包括：返还比例、档位级别、版本号、是否启用、档位类型、优惠金额等；同时数据提供给营销活动配置管理业务引用。本次涉及调整修改内容为调整相关字段以适配营销活动业务变更需求。</t>
  </si>
  <si>
    <t>保底营销活动信息</t>
  </si>
  <si>
    <t>作为业务人员，当需要查询保底营销活动信息时，能够通过此功能查出营销活动编码、营销活动名称、营销活动类型、业务类型、营销活动小类编码等信息，以便于快速获取营销活动相关信息。本次涉及调整修改内容为优化保底营销活动信息查询功能。</t>
  </si>
  <si>
    <t>保底营销活动信息查询</t>
  </si>
  <si>
    <t>作为业务人员，当需要删除保底营销活动信息时，能够通过此功能删除保底营销活动信息，以便于清理失效的营销活动配置数据。本次涉及调整修改内容为新增保底营销活动信息删除处理逻辑，支持通过保底营销活动信息编号删除指定记录。</t>
  </si>
  <si>
    <t>保底营销活动信息删除</t>
  </si>
  <si>
    <t>作为业务人员，当需要新增保底营销活动信息时，能够通过此功能新增保底营销活动信息，以便于及时配置营销活动相关数据。本次涉及调整修改内容为新增保底营销活动信息新增处理逻辑，支持编号、名称、类型、状态、操作人员等内容的录入。</t>
  </si>
  <si>
    <t>保底营销活动信息新增</t>
  </si>
  <si>
    <t>作为业务人员，当需要修改保底营销活动信息时，能够通过此功能修改保底营销活动信息，以便于及时更新营销活动相关数据。本次涉及调整修改内容为调整营销活动名称、营销活动类型、业务类型、营销活动描述信息等业务处理逻辑以满足营销活动配置管理需求。</t>
  </si>
  <si>
    <t>保底营销活动信息修改</t>
  </si>
  <si>
    <t>打折优惠营销活动审批信息在产商品中心中维护和存储，支持业务人员对数据做维护管理，数据主要字段包括：创建时间、审批结果、控制审批序号、完成时间、业务名称、更新时间等；同时数据提供给营销活动审批流程管理业务引用。本次涉及调整修改内容为调整相关字段以适配营销活动业务变更需求。</t>
  </si>
  <si>
    <t>打折优惠营销活动审批信息</t>
  </si>
  <si>
    <t>作为业务人员，当需要查看打折优惠营销活动审批信息报表时，能够通过此功能查看打折优惠营销活动审批信息报表数据，以便于及时了解营销活动审批情况。本次涉及调整修改内容为调整报表统计业务处理逻辑。</t>
  </si>
  <si>
    <t>打折优惠营销活动审批信息报表</t>
  </si>
  <si>
    <t>作为业务人员，当需要查询打折优惠营销活动审批信息时，能够通过此功能查出审批流水、业务编号、业务类型、业务操作人工号、业务操作时间等信息，以便于快速获取营销活动相关信息。本次涉及调整修改内容为优化打折优惠营销活动审批信息查询功能。</t>
  </si>
  <si>
    <t>打折优惠营销活动审批信息查询</t>
  </si>
  <si>
    <t>作为业务人员，当需要删除打折优惠营销活动审批信息时，能够通过此功能删除打折优惠营销活动审批信息，以便于清理失效的营销活动配置数据。本次涉及调整修改内容为新增打折优惠营销活动审批信息删除处理逻辑，支持通过打折优惠营销活动审批信息编号删除指定记录。</t>
  </si>
  <si>
    <t>打折优惠营销活动审批信息删除</t>
  </si>
  <si>
    <t>作为业务人员，当需要新增打折优惠营销活动审批信息时，能够通过此功能新增打折优惠营销活动审批信息，以便于及时配置营销活动相关数据。本次涉及调整修改内容为新增打折优惠营销活动审批信息新增处理逻辑，支持编号、名称、类型、状态、操作人员等内容的录入。</t>
  </si>
  <si>
    <t>打折优惠营销活动审批信息新增</t>
  </si>
  <si>
    <t>作为业务人员，当需要修改打折优惠营销活动审批信息时，能够通过此功能修改打折优惠营销活动审批信息，以便于及时更新营销活动相关数据。本次涉及调整修改内容为调整业务类型、业务操作人工号、业务操作时间、审批描述信息等业务处理逻辑以满足营销活动配置管理需求。</t>
  </si>
  <si>
    <t>打折优惠营销活动审批信息修改</t>
  </si>
  <si>
    <t>打折优惠营销活动核查信息在产商品中心中维护和存储，支持业务人员对数据做维护管理，数据主要字段包括：验证来源、排序号、标签、生效时间、验证次数、主键ID等，本次涉及调整修改内容为打折优惠营销活动验证信息等；同时数据提供给营销活动信息核查业务引用。本次涉及调整修改内容为调整相关字段以适配营销活动业务变更需求。</t>
  </si>
  <si>
    <t>打折优惠营销活动核查信息</t>
  </si>
  <si>
    <t>作为业务人员，当需要查询打折优惠营销活动核查信息时，能够通过此功能查出地市编码、渠道类型、用户标识、服务号码、活动编号等信息，以便于快速获取营销活动相关信息。本次涉及调整修改内容为优化打折优惠营销活动核查信息查询功能。</t>
  </si>
  <si>
    <t>打折优惠营销活动核查信息查询</t>
  </si>
  <si>
    <t>作为业务人员，当需要删除打折优惠营销活动核查信息时，能够通过此功能删除打折优惠营销活动核查信息，以便于清理失效的营销活动配置数据。本次涉及调整修改内容为新增打折优惠营销活动核查信息删除处理逻辑，支持通过打折优惠营销活动验证信息编号删除指定记录。</t>
  </si>
  <si>
    <t>打折优惠营销活动核查信息删除</t>
  </si>
  <si>
    <t>作为业务人员，当需要新增打折优惠营销活动核查信息时，能够通过此功能新增打折优惠营销活动核查信息，以便于及时配置营销活动相关数据。本次涉及调整修改内容为新增打折优惠营销活动核查信息新增处理逻辑，支持编号、名称、类型、状态、操作人员等内容的录入。</t>
  </si>
  <si>
    <t>打折优惠营销活动核查信息新增</t>
  </si>
  <si>
    <t>打折优惠营销模板信息在产商品中心中维护和存储，支持业务人员对数据做维护管理，数据主要字段包括：业务类型、名称、主办单位、备注、状态、活动状态编码等；同时数据提供给营销活动模板配置业务引用。本次涉及调整修改内容为调整相关字段以适配营销活动业务变更需求。</t>
  </si>
  <si>
    <t>打折优惠营销模板信息</t>
  </si>
  <si>
    <t>作为业务人员，当需要查询打折优惠营销模板信息时，能够通过此功能查出活动、地市编码、活动属性标识、活动属性、活动属性名称等信息，以便于快速获取营销活动相关信息。本次涉及调整修改内容为优化打折优惠营销模板信息查询功能。</t>
  </si>
  <si>
    <t>打折优惠营销模板信息查询</t>
  </si>
  <si>
    <t>作为业务人员，当需要删除打折优惠营销模板信息时，能够通过此功能删除打折优惠营销模板信息，以便于清理失效的营销活动配置数据。本次涉及调整修改内容为新增打折优惠营销模板信息删除处理逻辑，支持通过打折优惠营销模板信息编号删除指定记录。</t>
  </si>
  <si>
    <t>打折优惠营销模板信息删除</t>
  </si>
  <si>
    <t>作为业务人员，当需要新增打折优惠营销模板信息时，能够通过此功能新增打折优惠营销模板信息，以便于及时配置营销活动相关数据。本次涉及调整修改内容为新增打折优惠营销模板信息新增处理逻辑，支持编号、名称、类型、状态、操作人员等内容的录入。</t>
  </si>
  <si>
    <t>打折优惠营销模板信息新增</t>
  </si>
  <si>
    <t>作为业务人员，当需要修改打折优惠营销模板信息时，能够通过此功能修改打折优惠营销模板信息，以便于及时更新营销活动相关数据。本次涉及调整修改内容为调整活动、活动属性标识、活动属性、活动属性名称等业务处理逻辑以满足营销活动配置管理需求。</t>
  </si>
  <si>
    <t>打折优惠营销模板信息修改</t>
  </si>
  <si>
    <t>存送营销活动</t>
  </si>
  <si>
    <t>存送营销活动配置</t>
  </si>
  <si>
    <t>个人分月返还营销活动档位信息在产商品中心中维护和存储，支持业务人员对数据做维护管理，数据主要字段包括：营销活动档位编码、营销活动档位名称、活动编码、是否有效、开始日期、结束日期、方式状态、档次级别短信回复码、权限级别、统一活动编码等；同时数据提供给存送营销活动配置业务引用。本次涉及调整修改内容为调整相关字段以适配营销活动业务变更需求。</t>
  </si>
  <si>
    <t>个人分月返还营销活动档位信息</t>
  </si>
  <si>
    <t>作为业务人员，当需要查询个人分月返还营销活动档位信息时，能够通过此功能查出营销活动档位编码、营销活动档位名称、活动编码、是否有效、开始日期等信息，以便于快速获取营销活动相关信息。本次涉及调整修改内容为优化个人分月返还营销活动档位信息查询功能。</t>
  </si>
  <si>
    <t>个人分月返还营销活动档位信息查询</t>
  </si>
  <si>
    <t>作为业务人员，当需要删除个人分月返还营销活动档位信息时，能够通过此功能删除个人分月返还营销活动档位信息，以便于清理失效的营销活动配置数据。本次涉及调整修改内容为新增个人分月返还营销活动档位信息删除处理逻辑，支持通过个人分月返还营销活动档位信息编号删除指定记录。</t>
  </si>
  <si>
    <t>个人分月返还营销活动档位信息删除</t>
  </si>
  <si>
    <t>作为业务人员，当需要新增个人分月返还营销活动档位信息时，能够通过此功能新增个人分月返还营销活动档位信息，以便于及时配置营销活动相关数据。本次涉及调整修改内容为新增个人分月返还营销活动档位信息新增处理逻辑，支持编号、名称、类型、状态、操作人员等内容的录入。</t>
  </si>
  <si>
    <t>个人分月返还营销活动档位信息新增</t>
  </si>
  <si>
    <t>作为业务人员，当需要修改个人分月返还营销活动档位信息时，能够通过此功能修改个人分月返还营销活动档位信息，以便于及时更新营销活动相关数据。本次涉及调整修改内容为调整营销活动档位名称、是否有效、开始日期、结束日期等业务处理逻辑以满足营销活动配置管理需求。</t>
  </si>
  <si>
    <t>个人分月返还营销活动档位信息修改</t>
  </si>
  <si>
    <t>个人分月返还营销活动合约信息在产商品中心中维护和存储，支持业务人员对数据做维护管理，数据主要字段包括：合约名称、返还月数、标签、是否启用、删除标识、违约天数等；同时数据提供给存送营销活动配置业务引用。本次涉及调整修改内容为调整相关字段以适配营销活动业务变更需求。</t>
  </si>
  <si>
    <t>个人分月返还营销活动合约信息</t>
  </si>
  <si>
    <t>作为业务人员，当需要查询个人分月返还营销活动合约信息时，能够通过此功能查出任务执行编号、号码类型、服务号码、用户标识、地市编码等信息，以便于快速获取营销活动相关信息。本次涉及调整修改内容为优化个人分月返还营销活动合约信息查询功能。</t>
  </si>
  <si>
    <t>个人分月返还营销活动合约信息查询</t>
  </si>
  <si>
    <t>作为业务人员，当需要删除个人分月返还营销活动合约信息时，能够通过此功能删除个人分月返还营销活动合约信息，以便于清理失效的营销活动配置数据。本次涉及调整修改内容为新增个人分月返还营销活动合约信息删除处理逻辑，支持通过个人分月返还营销活动合约信息编号删除指定记录。</t>
  </si>
  <si>
    <t>个人分月返还营销活动合约信息删除</t>
  </si>
  <si>
    <t>作为业务人员，当需要新增个人分月返还营销活动合约信息时，能够通过此功能新增个人分月返还营销活动合约信息，以便于及时配置营销活动相关数据。本次涉及调整修改内容为新增个人分月返还营销活动合约信息新增处理逻辑，支持编号、名称、类型、状态、操作人员等内容的录入。</t>
  </si>
  <si>
    <t>个人分月返还营销活动合约信息新增</t>
  </si>
  <si>
    <t>作为业务人员，当需要修改个人分月返还营销活动合约信息时，能够通过此功能修改个人分月返还营销活动合约信息，以便于及时更新营销活动相关数据。本次涉及调整修改内容为调整号码类型、服务号码、用户标识、终端型号等业务处理逻辑以满足营销活动配置管理需求。</t>
  </si>
  <si>
    <t>个人分月返还营销活动合约信息修改</t>
  </si>
  <si>
    <t>个人分月返还营销活动渠道信息在产商品中心中维护和存储，支持业务人员对数据做维护管理，数据主要字段包括：渠道地址、渠道名称、创建人、删除标识、上级渠道、创建时间等；同时数据提供给存送营销活动配置业务引用。本次涉及调整修改内容为调整相关字段以适配营销活动业务变更需求。</t>
  </si>
  <si>
    <t>个人分月返还营销活动渠道信息</t>
  </si>
  <si>
    <t>作为业务人员，当需要查询个人分月返还营销活动渠道信息时，能够通过此功能查出任务执行编号、号码类型、服务号码、用户标识、地市编码等信息，以便于快速获取营销活动相关信息。本次涉及调整修改内容为优化个人分月返还营销活动渠道信息查询功能。</t>
  </si>
  <si>
    <t>个人分月返还营销活动渠道信息查询</t>
  </si>
  <si>
    <t>作为业务人员，当需要删除个人分月返还营销活动渠道信息时，能够通过此功能删除个人分月返还营销活动渠道信息，以便于清理失效的营销活动配置数据。本次涉及调整修改内容为新增个人分月返还营销活动渠道信息删除处理逻辑，支持通过个人分月返还营销活动渠道信息编号删除指定记录。</t>
  </si>
  <si>
    <t>个人分月返还营销活动渠道信息删除</t>
  </si>
  <si>
    <t>作为业务人员，当需要新增个人分月返还营销活动渠道信息时，能够通过此功能新增个人分月返还营销活动渠道信息，以便于及时配置营销活动相关数据。本次涉及调整修改内容为新增个人分月返还营销活动渠道信息新增处理逻辑，支持编号、名称、类型、状态、操作人员等内容的录入。</t>
  </si>
  <si>
    <t>个人分月返还营销活动渠道信息新增</t>
  </si>
  <si>
    <t>作为业务人员，当需要修改个人分月返还营销活动渠道信息时，能够通过此功能修改个人分月返还营销活动渠道信息，以便于及时更新营销活动相关数据。本次涉及调整修改内容为调整号码类型、服务号码、用户标识、终端型号等业务处理逻辑以满足营销活动配置管理需求。</t>
  </si>
  <si>
    <t>个人分月返还营销活动渠道信息修改</t>
  </si>
  <si>
    <t>个人分月返还营销活动销售规则信息在产商品中心中维护和存储，支持业务人员对数据做维护管理，数据主要字段包括：创建人、创建时间、更新人、版本号、规则编码、规则标签等；同时数据提供给存送营销活动配置业务引用。本次涉及调整修改内容为调整相关字段以适配营销活动业务变更需求。</t>
  </si>
  <si>
    <t>个人分月返还营销活动销售规则信息</t>
  </si>
  <si>
    <t>作为业务人员，当需要查询个人分月返还营销活动销售规则信息时，能够通过此功能查出任务执行编号、号码类型、服务号码、用户标识、地市编码等信息，以便于快速获取营销活动相关信息。本次涉及调整修改内容为优化个人分月返还营销活动销售规则信息查询功能。</t>
  </si>
  <si>
    <t>个人分月返还营销活动销售规则信息查询</t>
  </si>
  <si>
    <t>作为业务人员，当需要删除个人分月返还营销活动销售规则信息时，能够通过此功能删除个人分月返还营销活动销售规则信息，以便于清理失效的营销活动配置数据。本次涉及调整修改内容为新增个人分月返还营销活动销售规则信息删除处理逻辑，支持通过个人分月返还营销活动销售规则信息编号删除指定记录。</t>
  </si>
  <si>
    <t>个人分月返还营销活动销售规则信息删除</t>
  </si>
  <si>
    <t>作为业务人员，当需要新增个人分月返还营销活动销售规则信息时，能够通过此功能新增个人分月返还营销活动销售规则信息，以便于及时配置营销活动相关数据。本次涉及调整修改内容为新增个人分月返还营销活动销售规则信息新增处理逻辑，支持编号、名称、类型、状态、操作人员等内容的录入。</t>
  </si>
  <si>
    <t>个人分月返还营销活动销售规则信息新增</t>
  </si>
  <si>
    <t>作为业务人员，当需要修改个人分月返还营销活动销售规则信息时，能够通过此功能修改个人分月返还营销活动销售规则信息，以便于及时更新营销活动相关数据。本次涉及调整修改内容为调整号码类型、服务号码、用户标识、终端型号等业务处理逻辑以满足营销活动配置管理需求。</t>
  </si>
  <si>
    <t>个人分月返还营销活动销售规则信息修改</t>
  </si>
  <si>
    <t>个人分月返还营销活动信息在产商品中心中维护和存储，支持业务人员对数据做维护管理，数据主要字段包括：营销活动编码、营销活动名称、营销活动类型、业务类型、营销活动小类编码、活动状态编码、营销活动描述信息、营销活动优先级、营销活动开始日期、营销活动结束日期等；同时数据提供给存送营销活动配置业务引用。本次涉及调整修改内容为调整相关字段以适配营销活动业务变更需求。</t>
  </si>
  <si>
    <t>个人分月返还营销活动信息</t>
  </si>
  <si>
    <t>作为业务人员，当需要查询个人分月返还营销活动信息时，能够通过此功能查出营销活动编码、营销活动名称、营销活动类型、业务类型、营销活动小类编码等信息，以便于快速获取营销活动相关信息。本次涉及调整修改内容为优化个人分月返还营销活动信息查询功能。</t>
  </si>
  <si>
    <t>个人分月返还营销活动信息查询</t>
  </si>
  <si>
    <t>作为业务人员，当需要删除个人分月返还营销活动信息时，能够通过此功能删除个人分月返还营销活动信息，以便于清理失效的营销活动配置数据。本次涉及调整修改内容为新增个人分月返还营销活动信息删除处理逻辑，支持通过个人分月返还营销活动信息编号删除指定记录。</t>
  </si>
  <si>
    <t>个人分月返还营销活动信息删除</t>
  </si>
  <si>
    <t>作为业务人员，当需要新增个人分月返还营销活动信息时，能够通过此功能新增个人分月返还营销活动信息，以便于及时配置营销活动相关数据。本次涉及调整修改内容为新增个人分月返还营销活动信息新增处理逻辑，支持编号、名称、类型、状态、操作人员等内容的录入。</t>
  </si>
  <si>
    <t>个人分月返还营销活动信息新增</t>
  </si>
  <si>
    <t>作为业务人员，当需要修改个人分月返还营销活动信息时，能够通过此功能修改个人分月返还营销活动信息，以便于及时更新营销活动相关数据。本次涉及调整修改内容为调整营销活动名称、营销活动类型、业务类型、营销活动描述信息等业务处理逻辑以满足营销活动配置管理需求。</t>
  </si>
  <si>
    <t>个人分月返还营销活动信息修改</t>
  </si>
  <si>
    <t>家庭分月返还营销活动档位信息在产商品中心中维护和存储，支持业务人员对数据做维护管理，数据主要字段包括：短信回复码、开始日期、活动名称、版本号、活动门槛、统一活动编码等；同时数据提供给存送营销活动配置业务引用。本次涉及调整修改内容为调整相关字段以适配营销活动业务变更需求。</t>
  </si>
  <si>
    <t>家庭分月返还营销活动档位信息</t>
  </si>
  <si>
    <t>作为业务人员，当需要查询家庭分月返还营销活动档位信息时，能够通过此功能查出营销活动档位编码、营销活动档位名称、活动编码、是否有效、开始日期等信息，以便于快速获取营销活动相关信息。本次涉及调整修改内容为优化家庭分月返还营销活动档位信息查询功能。</t>
  </si>
  <si>
    <t>家庭分月返还营销活动档位信息查询</t>
  </si>
  <si>
    <t>作为业务人员，当需要删除家庭分月返还营销活动档位信息时，能够通过此功能删除家庭分月返还营销活动档位信息，以便于清理失效的营销活动配置数据。本次涉及调整修改内容为新增家庭分月返还营销活动档位信息删除处理逻辑，支持通过家庭分月返还营销活动档位信息编号删除指定记录。</t>
  </si>
  <si>
    <t>家庭分月返还营销活动档位信息删除</t>
  </si>
  <si>
    <t>作为业务人员，当需要新增家庭分月返还营销活动档位信息时，能够通过此功能新增家庭分月返还营销活动档位信息，以便于及时配置营销活动相关数据。本次涉及调整修改内容为新增家庭分月返还营销活动档位信息新增处理逻辑，支持编号、名称、类型、状态、操作人员等内容的录入。</t>
  </si>
  <si>
    <t>家庭分月返还营销活动档位信息新增</t>
  </si>
  <si>
    <t>作为业务人员，当需要修改家庭分月返还营销活动档位信息时，能够通过此功能修改家庭分月返还营销活动档位信息，以便于及时更新营销活动相关数据。本次涉及调整修改内容为调整营销活动档位名称、是否有效、开始日期、结束日期等业务处理逻辑以满足营销活动配置管理需求。</t>
  </si>
  <si>
    <t>家庭分月返还营销活动档位信息修改</t>
  </si>
  <si>
    <t>家庭分月返还营销活动合约信息在产商品中心中维护和存储，支持业务人员对数据做维护管理，数据主要字段包括：客户编码、返还周期、合约类型、合约金额、名称、违约金等；同时数据提供给存送营销活动配置业务引用。本次涉及调整修改内容为调整相关字段以适配营销活动业务变更需求。</t>
  </si>
  <si>
    <t>家庭分月返还营销活动合约信息</t>
  </si>
  <si>
    <t>作为业务人员，当需要查询家庭分月返还营销活动合约信息时，能够通过此功能查出任务执行编号、号码类型、服务号码、用户标识、地市编码等信息，以便于快速获取营销活动相关信息。本次涉及调整修改内容为优化家庭分月返还营销活动合约信息查询功能。</t>
  </si>
  <si>
    <t>家庭分月返还营销活动合约信息查询</t>
  </si>
  <si>
    <t>作为业务人员，当需要删除家庭分月返还营销活动合约信息时，能够通过此功能删除家庭分月返还营销活动合约信息，以便于清理失效的营销活动配置数据。本次涉及调整修改内容为新增家庭分月返还营销活动合约信息删除处理逻辑，支持通过家庭分月返还营销活动合约信息编号删除指定记录。</t>
  </si>
  <si>
    <t>家庭分月返还营销活动合约信息删除</t>
  </si>
  <si>
    <t>作为业务人员，当需要新增家庭分月返还营销活动合约信息时，能够通过此功能新增家庭分月返还营销活动合约信息，以便于及时配置营销活动相关数据。本次涉及调整修改内容为新增家庭分月返还营销活动合约信息新增处理逻辑，支持编号、名称、类型、状态、操作人员等内容的录入。</t>
  </si>
  <si>
    <t>家庭分月返还营销活动合约信息新增</t>
  </si>
  <si>
    <t>作为业务人员，当需要修改家庭分月返还营销活动合约信息时，能够通过此功能修改家庭分月返还营销活动合约信息，以便于及时更新营销活动相关数据。本次涉及调整修改内容为调整号码类型、服务号码、用户标识、终端型号等业务处理逻辑以满足营销活动配置管理需求。</t>
  </si>
  <si>
    <t>家庭分月返还营销活动合约信息修改</t>
  </si>
  <si>
    <t>家庭分月返还营销活动渠道信息在产商品中心中维护和存储，支持业务人员对数据做维护管理，数据主要字段包括：创建人、创建时间、渠道级别、渠道状态、失效时间、标签等；同时数据提供给存送营销活动配置业务引用。本次涉及调整修改内容为调整相关字段以适配营销活动业务变更需求。</t>
  </si>
  <si>
    <t>家庭分月返还营销活动渠道信息</t>
  </si>
  <si>
    <t>作为业务人员，当需要查询家庭分月返还营销活动渠道信息时，能够通过此功能查出任务执行编号、号码类型、服务号码、用户标识、地市编码等信息，以便于快速获取营销活动相关信息。本次涉及调整修改内容为优化家庭分月返还营销活动渠道信息查询功能。</t>
  </si>
  <si>
    <t>家庭分月返还营销活动渠道信息查询</t>
  </si>
  <si>
    <t>作为业务人员，当需要删除家庭分月返还营销活动渠道信息时，能够通过此功能删除家庭分月返还营销活动渠道信息，以便于清理失效的营销活动配置数据。本次涉及调整修改内容为新增家庭分月返还营销活动渠道信息删除处理逻辑，支持通过家庭分月返还营销活动渠道信息编号删除指定记录。</t>
  </si>
  <si>
    <t>家庭分月返还营销活动渠道信息删除</t>
  </si>
  <si>
    <t>作为业务人员，当需要新增家庭分月返还营销活动渠道信息时，能够通过此功能新增家庭分月返还营销活动渠道信息，以便于及时配置营销活动相关数据。本次涉及调整修改内容为新增家庭分月返还营销活动渠道信息新增处理逻辑，支持编号、名称、类型、状态、操作人员等内容的录入。</t>
  </si>
  <si>
    <t>家庭分月返还营销活动渠道信息新增</t>
  </si>
  <si>
    <t>作为业务人员，当需要修改家庭分月返还营销活动渠道信息时，能够通过此功能修改家庭分月返还营销活动渠道信息，以便于及时更新营销活动相关数据。本次涉及调整修改内容为调整号码类型、服务号码、用户标识、终端型号等业务处理逻辑以满足营销活动配置管理需求。</t>
  </si>
  <si>
    <t>家庭分月返还营销活动渠道信息修改</t>
  </si>
  <si>
    <t>家庭分月返还营销活动销售规则信息在产商品中心中维护和存储，支持业务人员对数据做维护管理，数据主要字段包括：更新时间、规则编码、创建时间、规则来源、生效日期、规则版本等；同时数据提供给存送营销活动配置业务引用。本次涉及调整修改内容为调整相关字段以适配营销活动业务变更需求。</t>
  </si>
  <si>
    <t>家庭分月返还营销活动销售规则信息</t>
  </si>
  <si>
    <t>作为业务人员，当需要查询家庭分月返还营销活动销售规则信息时，能够通过此功能查出任务执行编号、号码类型、服务号码、用户标识、地市编码等信息，以便于快速获取营销活动相关信息。本次涉及调整修改内容为优化家庭分月返还营销活动销售规则信息查询功能。</t>
  </si>
  <si>
    <t>家庭分月返还营销活动销售规则信息查询</t>
  </si>
  <si>
    <t>作为业务人员，当需要删除家庭分月返还营销活动销售规则信息时，能够通过此功能删除家庭分月返还营销活动销售规则信息，以便于清理失效的营销活动配置数据。本次涉及调整修改内容为新增家庭分月返还营销活动销售规则信息删除处理逻辑，支持通过家庭分月返还营销活动销售规则信息编号删除指定记录。</t>
  </si>
  <si>
    <t>家庭分月返还营销活动销售规则信息删除</t>
  </si>
  <si>
    <t>作为业务人员，当需要新增家庭分月返还营销活动销售规则信息时，能够通过此功能新增家庭分月返还营销活动销售规则信息，以便于及时配置营销活动相关数据。本次涉及调整修改内容为新增家庭分月返还营销活动销售规则信息新增处理逻辑，支持编号、名称、类型、状态、操作人员等内容的录入。</t>
  </si>
  <si>
    <t>家庭分月返还营销活动销售规则信息新增</t>
  </si>
  <si>
    <t>作为业务人员，当需要修改家庭分月返还营销活动销售规则信息时，能够通过此功能修改家庭分月返还营销活动销售规则信息，以便于及时更新营销活动相关数据。本次涉及调整修改内容为调整号码类型、服务号码、用户标识、终端型号等业务处理逻辑以满足营销活动配置管理需求。</t>
  </si>
  <si>
    <t>家庭分月返还营销活动销售规则信息修改</t>
  </si>
  <si>
    <t>家庭分月返还营销活动信息在产商品中心中维护和存储，支持业务人员对数据做维护管理，数据主要字段包括：备注、最低消费、状态、删除标识、活动名称、档位级别等；同时数据提供给存送营销活动配置业务引用。本次涉及调整修改内容为调整相关字段以适配营销活动业务变更需求。</t>
  </si>
  <si>
    <t>家庭分月返还营销活动信息</t>
  </si>
  <si>
    <t>作为业务人员，当需要查询家庭分月返还营销活动信息时，能够通过此功能查出营销活动编码、营销活动名称、营销活动类型、业务类型、营销活动小类编码等信息，以便于快速获取营销活动相关信息。本次涉及调整修改内容为优化家庭分月返还营销活动信息查询功能。</t>
  </si>
  <si>
    <t>家庭分月返还营销活动信息查询</t>
  </si>
  <si>
    <t>作为业务人员，当需要删除家庭分月返还营销活动信息时，能够通过此功能删除家庭分月返还营销活动信息，以便于清理失效的营销活动配置数据。本次涉及调整修改内容为新增家庭分月返还营销活动信息删除处理逻辑，支持通过家庭分月返还营销活动信息编号删除指定记录。</t>
  </si>
  <si>
    <t>家庭分月返还营销活动信息删除</t>
  </si>
  <si>
    <t>作为业务人员，当需要新增家庭分月返还营销活动信息时，能够通过此功能新增家庭分月返还营销活动信息，以便于及时配置营销活动相关数据。本次涉及调整修改内容为新增家庭分月返还营销活动信息新增处理逻辑，支持编号、名称、类型、状态、操作人员等内容的录入。</t>
  </si>
  <si>
    <t>家庭分月返还营销活动信息新增</t>
  </si>
  <si>
    <t>作为业务人员，当需要修改家庭分月返还营销活动信息时，能够通过此功能修改家庭分月返还营销活动信息，以便于及时更新营销活动相关数据。本次涉及调整修改内容为调整营销活动名称、营销活动类型、业务类型、营销活动描述信息等业务处理逻辑以满足营销活动配置管理需求。</t>
  </si>
  <si>
    <t>家庭分月返还营销活动信息修改</t>
  </si>
  <si>
    <t>宽带分月返还营销活动档位信息在产商品中心中维护和存储，支持业务人员对数据做维护管理，数据主要字段包括：返还上限、档位级别、结束日期、删除标识、启用状态、描述等；同时数据提供给存送营销活动配置业务引用。本次涉及调整修改内容为调整相关字段以适配营销活动业务变更需求。</t>
  </si>
  <si>
    <t>宽带分月返还营销活动档位信息</t>
  </si>
  <si>
    <t>作为业务人员，当需要查询宽带分月返还营销活动档位信息时，能够通过此功能查出任务执行编号、号码类型、服务号码、用户标识、地市编码等信息，以便于快速获取营销活动相关信息。本次涉及调整修改内容为优化宽带分月返还营销活动档位信息查询功能。</t>
  </si>
  <si>
    <t>宽带分月返还营销活动档位信息查询</t>
  </si>
  <si>
    <t>作为业务人员，当需要删除宽带分月返还营销活动档位信息时，能够通过此功能删除宽带分月返还营销活动档位信息，以便于清理失效的营销活动配置数据。本次涉及调整修改内容为新增宽带分月返还营销活动档位信息删除处理逻辑，支持通过宽带分月返还营销活动档位信息编号删除指定记录。</t>
  </si>
  <si>
    <t>宽带分月返还营销活动档位信息删除</t>
  </si>
  <si>
    <t>作为业务人员，当需要新增宽带分月返还营销活动档位信息时，能够通过此功能新增宽带分月返还营销活动档位信息，以便于及时配置营销活动相关数据。本次涉及调整修改内容为新增宽带分月返还营销活动档位信息新增处理逻辑，支持编号、名称、类型、状态、操作人员等内容的录入。</t>
  </si>
  <si>
    <t>宽带分月返还营销活动档位信息新增</t>
  </si>
  <si>
    <t>作为业务人员，当需要修改宽带分月返还营销活动档位信息时，能够通过此功能修改宽带分月返还营销活动档位信息，以便于及时更新营销活动相关数据。本次涉及调整修改内容为调整号码类型、服务号码、用户标识、终端型号等业务处理逻辑以满足营销活动配置管理需求。</t>
  </si>
  <si>
    <t>宽带分月返还营销活动档位信息修改</t>
  </si>
  <si>
    <t>宽带分月返还营销活动合约信息在产商品中心中维护和存储，支持业务人员对数据做维护管理，数据主要字段包括：创建人、合约开始日期、合约状态、合约金额、合约名称、生效时间等；同时数据提供给存送营销活动配置业务引用。本次涉及调整修改内容为调整相关字段以适配营销活动业务变更需求。</t>
  </si>
  <si>
    <t>宽带分月返还营销活动合约信息</t>
  </si>
  <si>
    <t>作为业务人员，当需要查询宽带分月返还营销活动合约信息时，能够通过此功能查出任务执行编号、号码类型、服务号码、用户标识、地市编码等信息，以便于快速获取营销活动相关信息。本次涉及调整修改内容为优化宽带分月返还营销活动合约信息查询功能。</t>
  </si>
  <si>
    <t>宽带分月返还营销活动合约信息查询</t>
  </si>
  <si>
    <t>作为业务人员，当需要删除宽带分月返还营销活动合约信息时，能够通过此功能删除宽带分月返还营销活动合约信息，以便于清理失效的营销活动配置数据。本次涉及调整修改内容为新增宽带分月返还营销活动合约信息删除处理逻辑，支持通过宽带分月返还营销活动合约信息编号删除指定记录。</t>
  </si>
  <si>
    <t>宽带分月返还营销活动合约信息删除</t>
  </si>
  <si>
    <t>作为业务人员，当需要新增宽带分月返还营销活动合约信息时，能够通过此功能新增宽带分月返还营销活动合约信息，以便于及时配置营销活动相关数据。本次涉及调整修改内容为新增宽带分月返还营销活动合约信息新增处理逻辑，支持编号、名称、类型、状态、操作人员等内容的录入。</t>
  </si>
  <si>
    <t>宽带分月返还营销活动合约信息新增</t>
  </si>
  <si>
    <t>作为业务人员，当需要修改宽带分月返还营销活动合约信息时，能够通过此功能修改宽带分月返还营销活动合约信息，以便于及时更新营销活动相关数据。本次涉及调整修改内容为调整号码类型、服务号码、用户标识、终端型号等业务处理逻辑以满足营销活动配置管理需求。</t>
  </si>
  <si>
    <t>宽带分月返还营销活动合约信息修改</t>
  </si>
  <si>
    <t>宽带分月返还营销活动渠道信息在产商品中心中维护和存储，支持业务人员对数据做维护管理，数据主要字段包括：手机号码、主键ID、联系人、状态、删除标识、渠道负责人等；同时数据提供给存送营销活动配置业务引用。本次涉及调整修改内容为调整相关字段以适配营销活动业务变更需求。</t>
  </si>
  <si>
    <t>宽带分月返还营销活动渠道信息</t>
  </si>
  <si>
    <t>作为业务人员，当需要查询宽带分月返还营销活动渠道信息时，能够通过此功能查出任务执行编号、号码类型、服务号码、用户标识、地市编码等信息，以便于快速获取营销活动相关信息。本次涉及调整修改内容为优化宽带分月返还营销活动渠道信息查询功能。</t>
  </si>
  <si>
    <t>宽带分月返还营销活动渠道信息查询</t>
  </si>
  <si>
    <t>作为业务人员，当需要删除宽带分月返还营销活动渠道信息时，能够通过此功能删除宽带分月返还营销活动渠道信息，以便于清理失效的营销活动配置数据。本次涉及调整修改内容为新增宽带分月返还营销活动渠道信息删除处理逻辑，支持通过宽带分月返还营销活动渠道信息编号删除指定记录。</t>
  </si>
  <si>
    <t>宽带分月返还营销活动渠道信息删除</t>
  </si>
  <si>
    <t>作为业务人员，当需要新增宽带分月返还营销活动渠道信息时，能够通过此功能新增宽带分月返还营销活动渠道信息，以便于及时配置营销活动相关数据。本次涉及调整修改内容为新增宽带分月返还营销活动渠道信息新增处理逻辑，支持编号、名称、类型、状态、操作人员等内容的录入。</t>
  </si>
  <si>
    <t>宽带分月返还营销活动渠道信息新增</t>
  </si>
  <si>
    <t>作为业务人员，当需要修改宽带分月返还营销活动渠道信息时，能够通过此功能修改宽带分月返还营销活动渠道信息，以便于及时更新营销活动相关数据。本次涉及调整修改内容为调整号码类型、服务号码、用户标识、终端型号等业务处理逻辑以满足营销活动配置管理需求。</t>
  </si>
  <si>
    <t>宽带分月返还营销活动渠道信息修改</t>
  </si>
  <si>
    <t>宽带分月返还营销活动销售规则信息在产商品中心中维护和存储，支持业务人员对数据做维护管理，数据主要字段包括：排序号、适用产品、标签、规则状态、创建时间、规则名称等；同时数据提供给存送营销活动配置业务引用。本次涉及调整修改内容为调整相关字段以适配营销活动业务变更需求。</t>
  </si>
  <si>
    <t>宽带分月返还营销活动销售规则信息</t>
  </si>
  <si>
    <t>作为业务人员，当需要查询宽带分月返还营销活动销售规则信息时，能够通过此功能查出任务执行编号、号码类型、服务号码、用户标识、地市编码等信息，以便于快速获取营销活动相关信息。本次涉及调整修改内容为优化宽带分月返还营销活动销售规则信息查询功能。</t>
  </si>
  <si>
    <t>宽带分月返还营销活动销售规则信息查询</t>
  </si>
  <si>
    <t>作为业务人员，当需要删除宽带分月返还营销活动销售规则信息时，能够通过此功能删除宽带分月返还营销活动销售规则信息，以便于清理失效的营销活动配置数据。本次涉及调整修改内容为新增宽带分月返还营销活动销售规则信息删除处理逻辑，支持通过宽带分月返还营销活动销售规则信息编号删除指定记录。</t>
  </si>
  <si>
    <t>宽带分月返还营销活动销售规则信息删除</t>
  </si>
  <si>
    <t>作为业务人员，当需要新增宽带分月返还营销活动销售规则信息时，能够通过此功能新增宽带分月返还营销活动销售规则信息，以便于及时配置营销活动相关数据。本次涉及调整修改内容为新增宽带分月返还营销活动销售规则信息新增处理逻辑，支持编号、名称、类型、状态、操作人员等内容的录入。</t>
  </si>
  <si>
    <t>宽带分月返还营销活动销售规则信息新增</t>
  </si>
  <si>
    <t>作为业务人员，当需要修改宽带分月返还营销活动销售规则信息时，能够通过此功能修改宽带分月返还营销活动销售规则信息，以便于及时更新营销活动相关数据。本次涉及调整修改内容为调整号码类型、服务号码、用户标识、终端型号等业务处理逻辑以满足营销活动配置管理需求。</t>
  </si>
  <si>
    <t>宽带分月返还营销活动销售规则信息修改</t>
  </si>
  <si>
    <t>宽带分月返还营销活动信息在产商品中心中维护和存储，支持业务人员对数据做维护管理，数据主要字段包括：标签、排序号、返还月数、结束日期、版本号、更新人等；同时数据提供给存送营销活动配置业务引用。本次涉及调整修改内容为调整相关字段以适配营销活动业务变更需求。</t>
  </si>
  <si>
    <t>宽带分月返还营销活动信息</t>
  </si>
  <si>
    <t>作为业务人员，当需要查询宽带分月返还营销活动信息时，能够通过此功能查出业务编码、业务类型、分配源、分配目标、区县等信息，以便于快速获取营销活动相关信息。本次涉及调整修改内容为优化宽带分月返还营销活动信息查询功能。</t>
  </si>
  <si>
    <t>宽带分月返还营销活动信息查询</t>
  </si>
  <si>
    <t>作为业务人员，当需要删除宽带分月返还营销活动信息时，能够通过此功能删除宽带分月返还营销活动信息，以便于清理失效的营销活动配置数据。本次涉及调整修改内容为新增宽带分月返还营销活动信息删除处理逻辑，支持通过宽带分月返还营销活动信息编号删除指定记录。</t>
  </si>
  <si>
    <t>宽带分月返还营销活动信息删除</t>
  </si>
  <si>
    <t>作为业务人员，当需要新增宽带分月返还营销活动信息时，能够通过此功能新增宽带分月返还营销活动信息，以便于及时配置营销活动相关数据。本次涉及调整修改内容为新增宽带分月返还营销活动信息新增处理逻辑，支持编号、名称、类型、状态、操作人员等内容的录入。</t>
  </si>
  <si>
    <t>宽带分月返还营销活动信息新增</t>
  </si>
  <si>
    <t>作为业务人员，当需要修改宽带分月返还营销活动信息时，能够通过此功能修改宽带分月返还营销活动信息，以便于及时更新营销活动相关数据。本次涉及调整修改内容为调整业务类型、分配源、分配目标、区县等业务处理逻辑以满足营销活动配置管理需求。</t>
  </si>
  <si>
    <t>宽带分月返还营销活动信息修改</t>
  </si>
  <si>
    <t>政企分月返还营销活动档位信息在产商品中心中维护和存储，支持业务人员对数据做维护管理，数据主要字段包括：创建人、优惠金额、结束日期、状态、活动名称、操作员工号等；同时数据提供给存送营销活动配置业务引用。本次涉及调整修改内容为调整相关字段以适配营销活动业务变更需求。</t>
  </si>
  <si>
    <t>政企分月返还营销活动档位信息</t>
  </si>
  <si>
    <t>作为业务人员，当需要查询政企分月返还营销活动档位信息时，能够通过此功能查出任务执行编号、号码类型、服务号码、用户标识、地市编码等信息，以便于快速获取营销活动相关信息。本次涉及调整修改内容为优化政企分月返还营销活动档位信息查询功能。</t>
  </si>
  <si>
    <t>政企分月返还营销活动档位信息查询</t>
  </si>
  <si>
    <t>作为业务人员，当需要删除政企分月返还营销活动档位信息时，能够通过此功能删除政企分月返还营销活动档位信息，以便于清理失效的营销活动配置数据。本次涉及调整修改内容为新增政企分月返还营销活动档位信息删除处理逻辑，支持通过政企分月返还营销活动档位信息编号删除指定记录。</t>
  </si>
  <si>
    <t>政企分月返还营销活动档位信息删除</t>
  </si>
  <si>
    <t>作为业务人员，当需要新增政企分月返还营销活动档位信息时，能够通过此功能新增政企分月返还营销活动档位信息，以便于及时配置营销活动相关数据。本次涉及调整修改内容为新增政企分月返还营销活动档位信息新增处理逻辑，支持编号、名称、类型、状态、操作人员等内容的录入。</t>
  </si>
  <si>
    <t>政企分月返还营销活动档位信息新增</t>
  </si>
  <si>
    <t>作为业务人员，当需要修改政企分月返还营销活动档位信息时，能够通过此功能修改政企分月返还营销活动档位信息，以便于及时更新营销活动相关数据。本次涉及调整修改内容为调整号码类型、服务号码、用户标识、终端型号等业务处理逻辑以满足营销活动配置管理需求。</t>
  </si>
  <si>
    <t>政企分月返还营销活动档位信息修改</t>
  </si>
  <si>
    <t>政企分月返还营销活动合约信息在产商品中心中维护和存储，支持业务人员对数据做维护管理，数据主要字段包括：月返还金额、备注、用户标识、更新人、违约天数、描述等；同时数据提供给存送营销活动配置业务引用。本次涉及调整修改内容为调整相关字段以适配营销活动业务变更需求。</t>
  </si>
  <si>
    <t>政企分月返还营销活动合约信息</t>
  </si>
  <si>
    <t>作为业务人员，当需要查询政企分月返还营销活动合约信息时，能够通过此功能查出任务执行编号、号码类型、服务号码、用户标识、地市编码等信息，以便于快速获取营销活动相关信息。本次涉及调整修改内容为优化政企分月返还营销活动合约信息查询功能。</t>
  </si>
  <si>
    <t>政企分月返还营销活动合约信息查询</t>
  </si>
  <si>
    <t>作为业务人员，当需要删除政企分月返还营销活动合约信息时，能够通过此功能删除政企分月返还营销活动合约信息，以便于清理失效的营销活动配置数据。本次涉及调整修改内容为新增政企分月返还营销活动合约信息删除处理逻辑，支持通过政企分月返还营销活动合约信息编号删除指定记录。</t>
  </si>
  <si>
    <t>政企分月返还营销活动合约信息删除</t>
  </si>
  <si>
    <t>作为业务人员，当需要新增政企分月返还营销活动合约信息时，能够通过此功能新增政企分月返还营销活动合约信息，以便于及时配置营销活动相关数据。本次涉及调整修改内容为新增政企分月返还营销活动合约信息新增处理逻辑，支持编号、名称、类型、状态、操作人员等内容的录入。</t>
  </si>
  <si>
    <t>政企分月返还营销活动合约信息新增</t>
  </si>
  <si>
    <t>作为业务人员，当需要修改政企分月返还营销活动合约信息时，能够通过此功能修改政企分月返还营销活动合约信息，以便于及时更新营销活动相关数据。本次涉及调整修改内容为调整号码类型、服务号码、用户标识、终端型号等业务处理逻辑以满足营销活动配置管理需求。</t>
  </si>
  <si>
    <t>政企分月返还营销活动合约信息修改</t>
  </si>
  <si>
    <t>政企分月返还营销活动渠道信息在产商品中心中维护和存储，支持业务人员对数据做维护管理，数据主要字段包括：主键ID、渠道名称、创建时间、渠道编码、编码、描述等；同时数据提供给存送营销活动配置业务引用。本次涉及调整修改内容为调整相关字段以适配营销活动业务变更需求。</t>
  </si>
  <si>
    <t>政企分月返还营销活动渠道信息</t>
  </si>
  <si>
    <t>作为业务人员，当需要查询政企分月返还营销活动渠道信息时，能够通过此功能查出任务执行编号、号码类型、服务号码、用户标识、地市编码等信息，以便于快速获取营销活动相关信息。本次涉及调整修改内容为优化政企分月返还营销活动渠道信息查询功能。</t>
  </si>
  <si>
    <t>政企分月返还营销活动渠道信息查询</t>
  </si>
  <si>
    <t>作为业务人员，当需要删除政企分月返还营销活动渠道信息时，能够通过此功能删除政企分月返还营销活动渠道信息，以便于清理失效的营销活动配置数据。本次涉及调整修改内容为新增政企分月返还营销活动渠道信息删除处理逻辑，支持通过政企分月返还营销活动渠道信息编号删除指定记录。</t>
  </si>
  <si>
    <t>政企分月返还营销活动渠道信息删除</t>
  </si>
  <si>
    <t>作为业务人员，当需要新增政企分月返还营销活动渠道信息时，能够通过此功能新增政企分月返还营销活动渠道信息，以便于及时配置营销活动相关数据。本次涉及调整修改内容为新增政企分月返还营销活动渠道信息新增处理逻辑，支持编号、名称、类型、状态、操作人员等内容的录入。</t>
  </si>
  <si>
    <t>政企分月返还营销活动渠道信息新增</t>
  </si>
  <si>
    <t>作为业务人员，当需要修改政企分月返还营销活动渠道信息时，能够通过此功能修改政企分月返还营销活动渠道信息，以便于及时更新营销活动相关数据。本次涉及调整修改内容为调整号码类型、服务号码、用户标识、终端型号等业务处理逻辑以满足营销活动配置管理需求。</t>
  </si>
  <si>
    <t>政企分月返还营销活动渠道信息修改</t>
  </si>
  <si>
    <t>政企分月返还营销活动销售规则信息在产商品中心中维护和存储，支持业务人员对数据做维护管理，数据主要字段包括：规则标签、规则名称、操作员工号、更新人、业务类型、失效日期等；同时数据提供给存送营销活动配置业务引用。本次涉及调整修改内容为调整相关字段以适配营销活动业务变更需求。</t>
  </si>
  <si>
    <t>政企分月返还营销活动销售规则信息</t>
  </si>
  <si>
    <t>作为业务人员，当需要查询政企分月返还营销活动销售规则信息时，能够通过此功能查出任务执行编号、号码类型、服务号码、用户标识、地市编码等信息，以便于快速获取营销活动相关信息。本次涉及调整修改内容为优化政企分月返还营销活动销售规则信息查询功能。</t>
  </si>
  <si>
    <t>政企分月返还营销活动销售规则信息查询</t>
  </si>
  <si>
    <t>作为业务人员，当需要删除政企分月返还营销活动销售规则信息时，能够通过此功能删除政企分月返还营销活动销售规则信息，以便于清理失效的营销活动配置数据。本次涉及调整修改内容为新增政企分月返还营销活动销售规则信息删除处理逻辑，支持通过政企分月返还营销活动销售规则信息编号删除指定记录。</t>
  </si>
  <si>
    <t>政企分月返还营销活动销售规则信息删除</t>
  </si>
  <si>
    <t>作为业务人员，当需要新增政企分月返还营销活动销售规则信息时，能够通过此功能新增政企分月返还营销活动销售规则信息，以便于及时配置营销活动相关数据。本次涉及调整修改内容为新增政企分月返还营销活动销售规则信息新增处理逻辑，支持编号、名称、类型、状态、操作人员等内容的录入。</t>
  </si>
  <si>
    <t>政企分月返还营销活动销售规则信息新增</t>
  </si>
  <si>
    <t>作为业务人员，当需要修改政企分月返还营销活动销售规则信息时，能够通过此功能修改政企分月返还营销活动销售规则信息，以便于及时更新营销活动相关数据。本次涉及调整修改内容为调整号码类型、服务号码、用户标识、终端型号等业务处理逻辑以满足营销活动配置管理需求。</t>
  </si>
  <si>
    <t>政企分月返还营销活动销售规则信息修改</t>
  </si>
  <si>
    <t>政企分月返还营销活动信息在产商品中心中维护和存储，支持业务人员对数据做维护管理，数据主要字段包括：开始日期、最低消费、更新人、主键ID、名称、描述等；同时数据提供给存送营销活动配置业务引用。本次涉及调整修改内容为调整相关字段以适配营销活动业务变更需求。</t>
  </si>
  <si>
    <t>政企分月返还营销活动信息</t>
  </si>
  <si>
    <t>作为业务人员，当需要查询政企分月返还营销活动信息时，能够通过此功能查出业务编码、业务类型、分配源、分配目标、区县等信息，以便于快速获取营销活动相关信息。本次涉及调整修改内容为优化政企分月返还营销活动信息查询功能。</t>
  </si>
  <si>
    <t>政企分月返还营销活动信息查询</t>
  </si>
  <si>
    <t>作为业务人员，当需要删除政企分月返还营销活动信息时，能够通过此功能删除政企分月返还营销活动信息，以便于清理失效的营销活动配置数据。本次涉及调整修改内容为新增政企分月返还营销活动信息删除处理逻辑，支持通过政企分月返还营销活动信息编号删除指定记录。</t>
  </si>
  <si>
    <t>政企分月返还营销活动信息删除</t>
  </si>
  <si>
    <t>作为业务人员，当需要新增政企分月返还营销活动信息时，能够通过此功能新增政企分月返还营销活动信息，以便于及时配置营销活动相关数据。本次涉及调整修改内容为新增政企分月返还营销活动信息新增处理逻辑，支持编号、名称、类型、状态、操作人员等内容的录入。</t>
  </si>
  <si>
    <t>政企分月返还营销活动信息新增</t>
  </si>
  <si>
    <t>作为业务人员，当需要修改政企分月返还营销活动信息时，能够通过此功能修改政企分月返还营销活动信息，以便于及时更新营销活动相关数据。本次涉及调整修改内容为调整业务类型、分配源、分配目标、区县等业务处理逻辑以满足营销活动配置管理需求。</t>
  </si>
  <si>
    <t>政企分月返还营销活动信息修改</t>
  </si>
  <si>
    <t>分月返还营销活动审批信息在产商品中心中维护和存储，支持业务人员对数据做维护管理，数据主要字段包括：完成时间、审批部门、审批人工号、备注、审批人、审批时间等；同时数据提供给营销活动审批流程管理业务引用。本次涉及调整修改内容为调整相关字段以适配营销活动业务变更需求。</t>
  </si>
  <si>
    <t>分月返还营销活动审批信息</t>
  </si>
  <si>
    <t>作为业务人员，当需要查看分月返还营销活动审批信息报表时，能够通过此功能查看分月返还营销活动审批信息报表数据，以便于及时了解营销活动审批情况。本次涉及调整修改内容为调整报表统计业务处理逻辑。</t>
  </si>
  <si>
    <t>分月返还营销活动审批信息报表</t>
  </si>
  <si>
    <t>作为业务人员，当需要查询分月返还营销活动审批信息时，能够通过此功能查出审批流水、业务编号、业务类型、业务操作人工号、业务操作时间等信息，以便于快速获取营销活动相关信息。本次涉及调整修改内容为优化分月返还营销活动审批信息查询功能。</t>
  </si>
  <si>
    <t>分月返还营销活动审批信息查询</t>
  </si>
  <si>
    <t>作为业务人员，当需要删除分月返还营销活动审批信息时，能够通过此功能删除分月返还营销活动审批信息，以便于清理失效的营销活动配置数据。本次涉及调整修改内容为新增分月返还营销活动审批信息删除处理逻辑，支持通过分月返还营销活动审批信息编号删除指定记录。</t>
  </si>
  <si>
    <t>分月返还营销活动审批信息删除</t>
  </si>
  <si>
    <t>作为业务人员，当需要新增分月返还营销活动审批信息时，能够通过此功能新增分月返还营销活动审批信息，以便于及时配置营销活动相关数据。本次涉及调整修改内容为新增分月返还营销活动审批信息新增处理逻辑，支持编号、名称、类型、状态、操作人员等内容的录入。</t>
  </si>
  <si>
    <t>分月返还营销活动审批信息新增</t>
  </si>
  <si>
    <t>作为业务人员，当需要修改分月返还营销活动审批信息时，能够通过此功能修改分月返还营销活动审批信息，以便于及时更新营销活动相关数据。本次涉及调整修改内容为调整业务类型、业务操作人工号、业务操作时间、审批描述信息等业务处理逻辑以满足营销活动配置管理需求。</t>
  </si>
  <si>
    <t>分月返还营销活动审批信息修改</t>
  </si>
  <si>
    <t>分月返还营销活动核查信息在产商品中心中维护和存储，支持业务人员对数据做维护管理，数据主要字段包括：验证状态、验证名称、版本号、操作员工号、删除标识、验证编码等，本次涉及调整修改内容为分月返还营销活动验证信息等；同时数据提供给营销活动信息核查业务引用。本次涉及调整修改内容为调整相关字段以适配营销活动业务变更需求。</t>
  </si>
  <si>
    <t>分月返还营销活动核查信息</t>
  </si>
  <si>
    <t>作为业务人员，当需要查询分月返还营销活动核查信息时，能够通过此功能查出业务编码、业务类型、分配源、分配目标、区县等信息，以便于快速获取营销活动相关信息。本次涉及调整修改内容为优化分月返还营销活动核查信息查询功能。</t>
  </si>
  <si>
    <t>分月返还营销活动核查信息查询</t>
  </si>
  <si>
    <t>作为业务人员，当需要删除分月返还营销活动核查信息时，能够通过此功能删除分月返还营销活动核查信息，以便于清理失效的营销活动配置数据。本次涉及调整修改内容为新增分月返还营销活动核查信息删除处理逻辑，支持通过分月返还营销活动验证信息编号删除指定记录。</t>
  </si>
  <si>
    <t>分月返还营销活动核查信息删除</t>
  </si>
  <si>
    <t>作为业务人员，当需要新增分月返还营销活动核查信息时，能够通过此功能新增分月返还营销活动核查信息，以便于及时配置营销活动相关数据。本次涉及调整修改内容为新增分月返还营销活动核查信息新增处理逻辑，支持编号、名称、类型、状态、操作人员等内容的录入。</t>
  </si>
  <si>
    <t>分月返还营销活动核查信息新增</t>
  </si>
  <si>
    <t>分月返还营销模板信息在产商品中心中维护和存储，支持业务人员对数据做维护管理，数据主要字段包括：业务编码、业务类型、分配源、分配目标、区县、渠道类型编码、状态代码、操作员工号、功能代码等；同时数据提供给营销活动模板配置业务引用。本次涉及调整修改内容为调整相关字段以适配营销活动业务变更需求。</t>
  </si>
  <si>
    <t>分月返还营销模板信息</t>
  </si>
  <si>
    <t>作为业务人员，当需要查询分月返还营销模板信息时，能够通过此功能查出业务编码、业务类型、分配源、分配目标、区县等信息，以便于快速获取营销活动相关信息。本次涉及调整修改内容为优化分月返还营销模板信息查询功能。</t>
  </si>
  <si>
    <t>分月返还营销模板信息查询</t>
  </si>
  <si>
    <t>作为业务人员，当需要删除分月返还营销模板信息时，能够通过此功能删除分月返还营销模板信息，以便于清理失效的营销活动配置数据。本次涉及调整修改内容为新增分月返还营销模板信息删除处理逻辑，支持通过分月返还营销模板信息编号删除指定记录。</t>
  </si>
  <si>
    <t>分月返还营销模板信息删除</t>
  </si>
  <si>
    <t>作为业务人员，当需要新增分月返还营销模板信息时，能够通过此功能新增分月返还营销模板信息，以便于及时配置营销活动相关数据。本次涉及调整修改内容为新增分月返还营销模板信息新增处理逻辑，支持编号、名称、类型、状态、操作人员等内容的录入。</t>
  </si>
  <si>
    <t>分月返还营销模板信息新增</t>
  </si>
  <si>
    <t>作为业务人员，当需要修改分月返还营销模板信息时，能够通过此功能修改分月返还营销模板信息，以便于及时更新营销活动相关数据。本次涉及调整修改内容为调整业务类型、分配源、分配目标、区县等业务处理逻辑以满足营销活动配置管理需求。</t>
  </si>
  <si>
    <t>分月返还营销模板信息修改</t>
  </si>
  <si>
    <t>终端营销活动</t>
  </si>
  <si>
    <t>终端营销活动管理</t>
  </si>
  <si>
    <t>合约机营销活动补贴信息在产商品中心中维护和存储，支持业务人员对数据做维护管理，数据主要字段包括：编码、归属部门、活动编码、活动摘要、组织名称、更新时间等；同时数据提供给终端营销活动管理业务引用。本次涉及调整修改内容为调整相关字段以适配营销活动业务变更需求。</t>
  </si>
  <si>
    <t>合约机营销活动补贴信息</t>
  </si>
  <si>
    <t>作为业务人员，当需要查询合约机营销活动补贴信息时，能够通过此功能查出活动、地市编码、活动属性标识、活动属性、活动属性名称等信息，以便于快速获取营销活动相关信息。本次涉及调整修改内容为优化合约机营销活动补贴信息查询功能。</t>
  </si>
  <si>
    <t>合约机营销活动补贴信息查询</t>
  </si>
  <si>
    <t>作为业务人员，当需要删除合约机营销活动补贴信息时，能够通过此功能删除合约机营销活动补贴信息，以便于清理失效的营销活动配置数据。本次涉及调整修改内容为新增合约机营销活动补贴信息删除处理逻辑，支持通过合约机营销活动补贴信息编号删除指定记录。</t>
  </si>
  <si>
    <t>合约机营销活动补贴信息删除</t>
  </si>
  <si>
    <t>作为业务人员，当需要新增合约机营销活动补贴信息时，能够通过此功能新增合约机营销活动补贴信息，以便于及时配置营销活动相关数据。本次涉及调整修改内容为新增合约机营销活动补贴信息新增处理逻辑，支持编号、名称、类型、状态、操作人员等内容的录入。</t>
  </si>
  <si>
    <t>合约机营销活动补贴信息新增</t>
  </si>
  <si>
    <t>作为业务人员，当需要修改合约机营销活动补贴信息时，能够通过此功能修改合约机营销活动补贴信息，以便于及时更新营销活动相关数据。本次涉及调整修改内容为调整活动、活动属性标识、活动属性、活动属性名称等业务处理逻辑以满足营销活动配置管理需求。</t>
  </si>
  <si>
    <t>合约机营销活动补贴信息修改</t>
  </si>
  <si>
    <t>合约机营销活动合约信息在产商品中心中维护和存储，支持业务人员对数据做维护管理，数据主要字段包括：合约开始日期、签约日期、合约金额、名称、标签、主键ID等；同时数据提供给终端营销活动管理业务引用。本次涉及调整修改内容为调整相关字段以适配营销活动业务变更需求。</t>
  </si>
  <si>
    <t>合约机营销活动合约信息</t>
  </si>
  <si>
    <t>作为业务人员，当需要查询合约机营销活动合约信息时，能够通过此功能查出活动、地市编码、活动属性标识、活动属性、活动属性名称等信息，以便于快速获取营销活动相关信息。本次涉及调整修改内容为优化合约机营销活动合约信息查询功能。</t>
  </si>
  <si>
    <t>合约机营销活动合约信息查询</t>
  </si>
  <si>
    <t>作为业务人员，当需要删除合约机营销活动合约信息时，能够通过此功能删除合约机营销活动合约信息，以便于清理失效的营销活动配置数据。本次涉及调整修改内容为新增合约机营销活动合约信息删除处理逻辑，支持通过合约机营销活动合约信息编号删除指定记录。</t>
  </si>
  <si>
    <t>合约机营销活动合约信息删除</t>
  </si>
  <si>
    <t>作为业务人员，当需要新增合约机营销活动合约信息时，能够通过此功能新增合约机营销活动合约信息，以便于及时配置营销活动相关数据。本次涉及调整修改内容为新增合约机营销活动合约信息新增处理逻辑，支持编号、名称、类型、状态、操作人员等内容的录入。</t>
  </si>
  <si>
    <t>合约机营销活动合约信息新增</t>
  </si>
  <si>
    <t>作为业务人员，当需要修改合约机营销活动合约信息时，能够通过此功能修改合约机营销活动合约信息，以便于及时更新营销活动相关数据。本次涉及调整修改内容为调整活动、活动属性标识、活动属性、活动属性名称等业务处理逻辑以满足营销活动配置管理需求。</t>
  </si>
  <si>
    <t>合约机营销活动合约信息修改</t>
  </si>
  <si>
    <t>合约机营销活动库存信息在产商品中心中维护和存储，支持业务人员对数据做维护管理，数据主要字段包括：活动状态编码、活动名称、活动摘要、状态、归属人、归属部门等；同时数据提供给终端营销活动管理业务引用。本次涉及调整修改内容为调整相关字段以适配营销活动业务变更需求。</t>
  </si>
  <si>
    <t>合约机营销活动库存信息</t>
  </si>
  <si>
    <t>作为业务人员，当需要查询合约机营销活动库存信息时，能够通过此功能查出活动、地市编码、活动属性标识、活动属性、活动属性名称等信息，以便于快速获取营销活动相关信息。本次涉及调整修改内容为优化合约机营销活动库存信息查询功能。</t>
  </si>
  <si>
    <t>合约机营销活动库存信息查询</t>
  </si>
  <si>
    <t>作为业务人员，当需要删除合约机营销活动库存信息时，能够通过此功能删除合约机营销活动库存信息，以便于清理失效的营销活动配置数据。本次涉及调整修改内容为新增合约机营销活动库存信息删除处理逻辑，支持通过合约机营销活动库存信息编号删除指定记录。</t>
  </si>
  <si>
    <t>合约机营销活动库存信息删除</t>
  </si>
  <si>
    <t>作为业务人员，当需要新增合约机营销活动库存信息时，能够通过此功能新增合约机营销活动库存信息，以便于及时配置营销活动相关数据。本次涉及调整修改内容为新增合约机营销活动库存信息新增处理逻辑，支持编号、名称、类型、状态、操作人员等内容的录入。</t>
  </si>
  <si>
    <t>合约机营销活动库存信息新增</t>
  </si>
  <si>
    <t>作为业务人员，当需要修改合约机营销活动库存信息时，能够通过此功能修改合约机营销活动库存信息，以便于及时更新营销活动相关数据。本次涉及调整修改内容为调整活动、活动属性标识、活动属性、活动属性名称等业务处理逻辑以满足营销活动配置管理需求。</t>
  </si>
  <si>
    <t>合约机营销活动库存信息修改</t>
  </si>
  <si>
    <t>合约机营销活动信息在产商品中心中维护和存储，支持业务人员对数据做维护管理，数据主要字段包括：失效时间、名称、档位编码、标签、删除标识、档位级别等；同时数据提供给终端营销活动管理业务引用。本次涉及调整修改内容为调整相关字段以适配营销活动业务变更需求。</t>
  </si>
  <si>
    <t>合约机营销活动信息</t>
  </si>
  <si>
    <t>作为业务人员，当需要查询合约机营销活动信息时，能够通过此功能查出营销活动编码、营销活动名称、营销活动类型、业务类型、营销活动小类编码等信息，以便于快速获取营销活动相关信息。本次涉及调整修改内容为优化合约机营销活动信息查询功能。</t>
  </si>
  <si>
    <t>合约机营销活动信息查询</t>
  </si>
  <si>
    <t>作为业务人员，当需要删除合约机营销活动信息时，能够通过此功能删除合约机营销活动信息，以便于清理失效的营销活动配置数据。本次涉及调整修改内容为新增合约机营销活动信息删除处理逻辑，支持通过合约机营销活动信息编号删除指定记录。</t>
  </si>
  <si>
    <t>合约机营销活动信息删除</t>
  </si>
  <si>
    <t>作为业务人员，当需要新增合约机营销活动信息时，能够通过此功能新增合约机营销活动信息，以便于及时配置营销活动相关数据。本次涉及调整修改内容为新增合约机营销活动信息新增处理逻辑，支持编号、名称、类型、状态、操作人员等内容的录入。</t>
  </si>
  <si>
    <t>合约机营销活动信息新增</t>
  </si>
  <si>
    <t>作为业务人员，当需要修改合约机营销活动信息时，能够通过此功能修改合约机营销活动信息，以便于及时更新营销活动相关数据。本次涉及调整修改内容为调整营销活动名称、营销活动类型、业务类型、营销活动描述信息等业务处理逻辑以满足营销活动配置管理需求。</t>
  </si>
  <si>
    <t>合约机营销活动信息修改</t>
  </si>
  <si>
    <t>合约机营销活动终端型号信息在产商品中心中维护和存储，支持业务人员对数据做维护管理，数据主要字段包括：组织名称、排序号、状态、失效时间、活动编码、描述等；同时数据提供给终端营销活动管理业务引用。本次涉及调整修改内容为调整相关字段以适配营销活动业务变更需求。</t>
  </si>
  <si>
    <t>合约机营销活动终端型号信息</t>
  </si>
  <si>
    <t>作为业务人员，当需要查询合约机营销活动终端型号信息时，能够通过此功能查出地市编码、渠道类型、用户标识、服务号码、活动编号等信息，以便于快速获取营销活动相关信息。本次涉及调整修改内容为优化合约机营销活动终端型号信息查询功能。</t>
  </si>
  <si>
    <t>合约机营销活动终端型号信息查询</t>
  </si>
  <si>
    <t>作为业务人员，当需要删除合约机营销活动终端型号信息时，能够通过此功能删除合约机营销活动终端型号信息，以便于清理失效的营销活动配置数据。本次涉及调整修改内容为新增合约机营销活动终端型号信息删除处理逻辑，支持通过合约机营销活动终端型号信息编号删除指定记录。</t>
  </si>
  <si>
    <t>合约机营销活动终端型号信息删除</t>
  </si>
  <si>
    <t>作为业务人员，当需要新增合约机营销活动终端型号信息时，能够通过此功能新增合约机营销活动终端型号信息，以便于及时配置营销活动相关数据。本次涉及调整修改内容为新增合约机营销活动终端型号信息新增处理逻辑，支持编号、名称、类型、状态、操作人员等内容的录入。</t>
  </si>
  <si>
    <t>合约机营销活动终端型号信息新增</t>
  </si>
  <si>
    <t>作为业务人员，当需要修改合约机营销活动终端型号信息时，能够通过此功能修改合约机营销活动终端型号信息，以便于及时更新营销活动相关数据。本次涉及调整修改内容为调整渠道类型、用户标识、服务号码、工单号等业务处理逻辑以满足营销活动配置管理需求。</t>
  </si>
  <si>
    <t>合约机营销活动终端型号信息修改</t>
  </si>
  <si>
    <t>和包贷营销活动档位信息在产商品中心中维护和存储，支持业务人员对数据做维护管理，数据主要字段包括：档位类型、启用状态、返还上限、结束日期、生效时间、主键ID等；同时数据提供给营销活动配置管理业务引用。本次涉及调整修改内容为调整相关字段以适配营销活动业务变更需求。</t>
  </si>
  <si>
    <t>和包贷营销活动档位信息</t>
  </si>
  <si>
    <t>作为业务人员，当需要查询和包贷营销活动档位信息时，能够通过此功能查出营销活动档位编码、营销活动档位名称、活动编码、是否有效、开始日期等信息，以便于快速获取营销活动相关信息。本次涉及调整修改内容为优化和包贷营销活动档位信息查询功能。</t>
  </si>
  <si>
    <t>和包贷营销活动档位信息查询</t>
  </si>
  <si>
    <t>作为业务人员，当需要删除和包贷营销活动档位信息时，能够通过此功能删除和包贷营销活动档位信息，以便于清理失效的营销活动配置数据。本次涉及调整修改内容为新增和包贷营销活动档位信息删除处理逻辑，支持通过和包贷营销活动档位信息编号删除指定记录。</t>
  </si>
  <si>
    <t>和包贷营销活动档位信息删除</t>
  </si>
  <si>
    <t>作为业务人员，当需要新增和包贷营销活动档位信息时，能够通过此功能新增和包贷营销活动档位信息，以便于及时配置营销活动相关数据。本次涉及调整修改内容为新增和包贷营销活动档位信息新增处理逻辑，支持编号、名称、类型、状态、操作人员等内容的录入。</t>
  </si>
  <si>
    <t>和包贷营销活动档位信息新增</t>
  </si>
  <si>
    <t>作为业务人员，当需要修改和包贷营销活动档位信息时，能够通过此功能修改和包贷营销活动档位信息，以便于及时更新营销活动相关数据。本次涉及调整修改内容为调整营销活动档位名称、是否有效、开始日期、结束日期等业务处理逻辑以满足营销活动配置管理需求。</t>
  </si>
  <si>
    <t>和包贷营销活动档位信息修改</t>
  </si>
  <si>
    <t>和包贷营销活动合约信息在产商品中心中维护和存储，支持业务人员对数据做维护管理，数据主要字段包括：更新人、合约编码、签约人、返还周期、主键ID、违约天数等；同时数据提供给营销活动配置管理业务引用。本次涉及调整修改内容为调整相关字段以适配营销活动业务变更需求。</t>
  </si>
  <si>
    <t>和包贷营销活动合约信息</t>
  </si>
  <si>
    <t>作为业务人员，当需要查询和包贷营销活动合约信息时，能够通过此功能查出活动、地市编码、活动属性标识、活动属性、活动属性名称等信息，以便于快速获取营销活动相关信息。本次涉及调整修改内容为优化和包贷营销活动合约信息查询功能。</t>
  </si>
  <si>
    <t>和包贷营销活动合约信息查询</t>
  </si>
  <si>
    <t>作为业务人员，当需要删除和包贷营销活动合约信息时，能够通过此功能删除和包贷营销活动合约信息，以便于清理失效的营销活动配置数据。本次涉及调整修改内容为新增和包贷营销活动合约信息删除处理逻辑，支持通过和包贷营销活动合约信息编号删除指定记录。</t>
  </si>
  <si>
    <t>和包贷营销活动合约信息删除</t>
  </si>
  <si>
    <t>作为业务人员，当需要新增和包贷营销活动合约信息时，能够通过此功能新增和包贷营销活动合约信息，以便于及时配置营销活动相关数据。本次涉及调整修改内容为新增和包贷营销活动合约信息新增处理逻辑，支持编号、名称、类型、状态、操作人员等内容的录入。</t>
  </si>
  <si>
    <t>和包贷营销活动合约信息新增</t>
  </si>
  <si>
    <t>作为业务人员，当需要修改和包贷营销活动合约信息时，能够通过此功能修改和包贷营销活动合约信息，以便于及时更新营销活动相关数据。本次涉及调整修改内容为调整活动、活动属性标识、活动属性、活动属性名称等业务处理逻辑以满足营销活动配置管理需求。</t>
  </si>
  <si>
    <t>和包贷营销活动合约信息修改</t>
  </si>
  <si>
    <t>和包贷营销活动渠道信息在产商品中心中维护和存储，支持业务人员对数据做维护管理，数据主要字段包括：渠道编码、渠道类型、删除标识、描述、创建人、失效时间等；同时数据提供给营销活动配置管理业务引用。本次涉及调整修改内容为调整相关字段以适配营销活动业务变更需求。</t>
  </si>
  <si>
    <t>和包贷营销活动渠道信息</t>
  </si>
  <si>
    <t>作为业务人员，当需要查询和包贷营销活动渠道信息时，能够通过此功能查出活动、地市编码、活动属性标识、活动属性、活动属性名称等信息，以便于快速获取营销活动相关信息。本次涉及调整修改内容为优化和包贷营销活动渠道信息查询功能。</t>
  </si>
  <si>
    <t>和包贷营销活动渠道信息查询</t>
  </si>
  <si>
    <t>作为业务人员，当需要删除和包贷营销活动渠道信息时，能够通过此功能删除和包贷营销活动渠道信息，以便于清理失效的营销活动配置数据。本次涉及调整修改内容为新增和包贷营销活动渠道信息删除处理逻辑，支持通过和包贷营销活动渠道信息编号删除指定记录。</t>
  </si>
  <si>
    <t>和包贷营销活动渠道信息删除</t>
  </si>
  <si>
    <t>作为业务人员，当需要新增和包贷营销活动渠道信息时，能够通过此功能新增和包贷营销活动渠道信息，以便于及时配置营销活动相关数据。本次涉及调整修改内容为新增和包贷营销活动渠道信息新增处理逻辑，支持编号、名称、类型、状态、操作人员等内容的录入。</t>
  </si>
  <si>
    <t>和包贷营销活动渠道信息新增</t>
  </si>
  <si>
    <t>作为业务人员，当需要修改和包贷营销活动渠道信息时，能够通过此功能修改和包贷营销活动渠道信息，以便于及时更新营销活动相关数据。本次涉及调整修改内容为调整活动、活动属性标识、活动属性、活动属性名称等业务处理逻辑以满足营销活动配置管理需求。</t>
  </si>
  <si>
    <t>和包贷营销活动渠道信息修改</t>
  </si>
  <si>
    <t>和包贷营销活动销售规则信息在产商品中心中维护和存储，支持业务人员对数据做维护管理，数据主要字段包括：创建时间、规则编码、标签、规则表达式、适用渠道、是否有效等；同时数据提供给营销活动配置管理业务引用。本次涉及调整修改内容为调整相关字段以适配营销活动业务变更需求。</t>
  </si>
  <si>
    <t>和包贷营销活动销售规则信息</t>
  </si>
  <si>
    <t>作为业务人员，当需要查询和包贷营销活动销售规则信息时，能够通过此功能查出地市编码、渠道类型、用户标识、服务号码、活动编号等信息，以便于快速获取营销活动相关信息。本次涉及调整修改内容为优化和包贷营销活动销售规则信息查询功能。</t>
  </si>
  <si>
    <t>和包贷营销活动销售规则信息查询</t>
  </si>
  <si>
    <t>作为业务人员，当需要删除和包贷营销活动销售规则信息时，能够通过此功能删除和包贷营销活动销售规则信息，以便于清理失效的营销活动配置数据。本次涉及调整修改内容为新增和包贷营销活动销售规则信息删除处理逻辑，支持通过和包贷营销活动销售规则信息编号删除指定记录。</t>
  </si>
  <si>
    <t>和包贷营销活动销售规则信息删除</t>
  </si>
  <si>
    <t>作为业务人员，当需要新增和包贷营销活动销售规则信息时，能够通过此功能新增和包贷营销活动销售规则信息，以便于及时配置营销活动相关数据。本次涉及调整修改内容为新增和包贷营销活动销售规则信息新增处理逻辑，支持编号、名称、类型、状态、操作人员等内容的录入。</t>
  </si>
  <si>
    <t>和包贷营销活动销售规则信息新增</t>
  </si>
  <si>
    <t>作为业务人员，当需要修改和包贷营销活动销售规则信息时，能够通过此功能修改和包贷营销活动销售规则信息，以便于及时更新营销活动相关数据。本次涉及调整修改内容为调整渠道类型、用户标识、服务号码、工单号等业务处理逻辑以满足营销活动配置管理需求。</t>
  </si>
  <si>
    <t>和包贷营销活动销售规则信息修改</t>
  </si>
  <si>
    <t>和包贷营销活动信息在产商品中心中维护和存储，支持业务人员对数据做维护管理，数据主要字段包括：返还上限、短信回复码、是否有效、版本号、编码、更新时间等；同时数据提供给营销活动配置管理业务引用。本次涉及调整修改内容为调整相关字段以适配营销活动业务变更需求。</t>
  </si>
  <si>
    <t>和包贷营销活动信息</t>
  </si>
  <si>
    <t>作为业务人员，当需要查询和包贷营销活动信息时，能够通过此功能查出营销活动编码、营销活动名称、营销活动类型、业务类型、营销活动小类编码等信息，以便于快速获取营销活动相关信息。本次涉及调整修改内容为优化和包贷营销活动信息查询功能。</t>
  </si>
  <si>
    <t>和包贷营销活动信息查询</t>
  </si>
  <si>
    <t>作为业务人员，当需要删除和包贷营销活动信息时，能够通过此功能删除和包贷营销活动信息，以便于清理失效的营销活动配置数据。本次涉及调整修改内容为新增和包贷营销活动信息删除处理逻辑，支持通过和包贷营销活动信息编号删除指定记录。</t>
  </si>
  <si>
    <t>和包贷营销活动信息删除</t>
  </si>
  <si>
    <t>作为业务人员，当需要新增和包贷营销活动信息时，能够通过此功能新增和包贷营销活动信息，以便于及时配置营销活动相关数据。本次涉及调整修改内容为新增和包贷营销活动信息新增处理逻辑，支持编号、名称、类型、状态、操作人员等内容的录入。</t>
  </si>
  <si>
    <t>和包贷营销活动信息新增</t>
  </si>
  <si>
    <t>作为业务人员，当需要修改和包贷营销活动信息时，能够通过此功能修改和包贷营销活动信息，以便于及时更新营销活动相关数据。本次涉及调整修改内容为调整营销活动名称、营销活动类型、业务类型、营销活动描述信息等业务处理逻辑以满足营销活动配置管理需求。</t>
  </si>
  <si>
    <t>和包贷营销活动信息修改</t>
  </si>
  <si>
    <t>和包贷营销活动审批信息在产商品中心中维护和存储，支持业务人员对数据做维护管理，数据主要字段包括：完成时间、审批级别、审批时间、审批人工号、上级审批人、失效时间等；同时数据提供给营销活动审批流程管理业务引用。本次涉及调整修改内容为调整相关字段以适配营销活动业务变更需求。</t>
  </si>
  <si>
    <t>和包贷营销活动审批信息</t>
  </si>
  <si>
    <t>作为业务人员，当需要查看和包贷营销活动审批信息报表时，能够通过此功能查看和包贷营销活动审批信息报表数据，以便于及时了解营销活动审批情况。本次涉及调整修改内容为调整报表统计业务处理逻辑。</t>
  </si>
  <si>
    <t>和包贷营销活动审批信息报表</t>
  </si>
  <si>
    <t>作为业务人员，当需要查询和包贷营销活动审批信息时，能够通过此功能查出审批流水、业务编号、业务类型、业务操作人工号、业务操作时间等信息，以便于快速获取营销活动相关信息。本次涉及调整修改内容为优化和包贷营销活动审批信息查询功能。</t>
  </si>
  <si>
    <t>和包贷营销活动审批信息查询</t>
  </si>
  <si>
    <t>作为业务人员，当需要删除和包贷营销活动审批信息时，能够通过此功能删除和包贷营销活动审批信息，以便于清理失效的营销活动配置数据。本次涉及调整修改内容为新增和包贷营销活动审批信息删除处理逻辑，支持通过和包贷营销活动审批信息编号删除指定记录。</t>
  </si>
  <si>
    <t>和包贷营销活动审批信息删除</t>
  </si>
  <si>
    <t>作为业务人员，当需要新增和包贷营销活动审批信息时，能够通过此功能新增和包贷营销活动审批信息，以便于及时配置营销活动相关数据。本次涉及调整修改内容为新增和包贷营销活动审批信息新增处理逻辑，支持编号、名称、类型、状态、操作人员等内容的录入。</t>
  </si>
  <si>
    <t>和包贷营销活动审批信息新增</t>
  </si>
  <si>
    <t>作为业务人员，当需要修改和包贷营销活动审批信息时，能够通过此功能修改和包贷营销活动审批信息，以便于及时更新营销活动相关数据。本次涉及调整修改内容为调整业务类型、业务操作人工号、业务操作时间、审批描述信息等业务处理逻辑以满足营销活动配置管理需求。</t>
  </si>
  <si>
    <t>和包贷营销活动审批信息修改</t>
  </si>
  <si>
    <t>和包贷营销活动核查信息在产商品中心中维护和存储，支持业务人员对数据做维护管理，数据主要字段包括：版本号、操作员工号、标签、验证时间、更新人、验证规则等，本次涉及调整修改内容为和包贷营销活动验证信息等；同时数据提供给营销活动信息核查业务引用。本次涉及调整修改内容为调整相关字段以适配营销活动业务变更需求。</t>
  </si>
  <si>
    <t>和包贷营销活动核查信息</t>
  </si>
  <si>
    <t>作为业务人员，当需要查询和包贷营销活动核查信息时，能够通过此功能查出活动、地市编码、活动属性标识、活动属性、活动属性名称等信息，以便于快速获取营销活动相关信息。本次涉及调整修改内容为优化和包贷营销活动核查信息查询功能。</t>
  </si>
  <si>
    <t>和包贷营销活动核查信息查询</t>
  </si>
  <si>
    <t>作为业务人员，当需要删除和包贷营销活动核查信息时，能够通过此功能删除和包贷营销活动核查信息，以便于清理失效的营销活动配置数据。本次涉及调整修改内容为新增和包贷营销活动核查信息删除处理逻辑，支持通过和包贷营销活动验证信息编号删除指定记录。</t>
  </si>
  <si>
    <t>和包贷营销活动核查信息删除</t>
  </si>
  <si>
    <t>作为业务人员，当需要新增和包贷营销活动核查信息时，能够通过此功能新增和包贷营销活动核查信息，以便于及时配置营销活动相关数据。本次涉及调整修改内容为新增和包贷营销活动核查信息新增处理逻辑，支持编号、名称、类型、状态、操作人员等内容的录入。</t>
  </si>
  <si>
    <t>和包贷营销活动核查信息新增</t>
  </si>
  <si>
    <t>和包贷营销模板信息在产商品中心中维护和存储，支持业务人员对数据做维护管理，数据主要字段包括：服务号码、方式编码、操作日期、应付款0、应付款1、违约金0、违约金1、补贴合约费0、补贴合约费1、系统违约金0等；同时数据提供给营销活动模板配置业务引用。本次涉及调整修改内容为调整相关字段以适配营销活动业务变更需求。</t>
  </si>
  <si>
    <t>和包贷营销模板信息</t>
  </si>
  <si>
    <t>作为业务人员，当需要查询和包贷营销模板信息时，能够通过此功能查出服务号码、方式编码、操作日期、应付款0、应付款1等信息，以便于快速获取营销活动相关信息。本次涉及调整修改内容为优化和包贷营销模板信息查询功能。</t>
  </si>
  <si>
    <t>和包贷营销模板信息查询</t>
  </si>
  <si>
    <t>作为业务人员，当需要删除和包贷营销模板信息时，能够通过此功能删除和包贷营销模板信息，以便于清理失效的营销活动配置数据。本次涉及调整修改内容为新增和包贷营销模板信息删除处理逻辑，支持通过和包贷营销模板信息编号删除指定记录。</t>
  </si>
  <si>
    <t>和包贷营销模板信息删除</t>
  </si>
  <si>
    <t>作为业务人员，当需要新增和包贷营销模板信息时，能够通过此功能新增和包贷营销模板信息，以便于及时配置营销活动相关数据。本次涉及调整修改内容为新增和包贷营销模板信息新增处理逻辑，支持编号、名称、类型、状态、操作人员等内容的录入。</t>
  </si>
  <si>
    <t>和包贷营销模板信息新增</t>
  </si>
  <si>
    <t>作为业务人员，当需要修改和包贷营销模板信息时，能够通过此功能修改和包贷营销模板信息，以便于及时更新营销活动相关数据。本次涉及调整修改内容为调整服务号码、操作日期、应付款0、应付款1等业务处理逻辑以满足营销活动配置管理需求。</t>
  </si>
  <si>
    <t>和包贷营销模板信息修改</t>
  </si>
  <si>
    <t>扣减积分营销活动档位信息在产商品中心中维护和存储，支持业务人员对数据做维护管理，数据主要字段包括：档位级别、返还金额、生效时间、档位编码、是否有效、更新人等；同时数据提供给营销活动配置管理业务引用。本次涉及调整修改内容为调整相关字段以适配营销活动业务变更需求。</t>
  </si>
  <si>
    <t>扣减积分营销活动档位信息</t>
  </si>
  <si>
    <t>作为业务人员，当需要查询扣减积分营销活动档位信息时，能够通过此功能查出营销活动档位编码、营销活动档位名称、活动编码、是否有效、开始日期等信息，以便于快速获取营销活动相关信息。本次涉及调整修改内容为优化扣减积分营销活动档位信息查询功能。</t>
  </si>
  <si>
    <t>扣减积分营销活动档位信息查询</t>
  </si>
  <si>
    <t>作为业务人员，当需要删除扣减积分营销活动档位信息时，能够通过此功能删除扣减积分营销活动档位信息，以便于清理失效的营销活动配置数据。本次涉及调整修改内容为新增扣减积分营销活动档位信息删除处理逻辑，支持通过扣减积分营销活动档位信息编号删除指定记录。</t>
  </si>
  <si>
    <t>扣减积分营销活动档位信息删除</t>
  </si>
  <si>
    <t>作为业务人员，当需要新增扣减积分营销活动档位信息时，能够通过此功能新增扣减积分营销活动档位信息，以便于及时配置营销活动相关数据。本次涉及调整修改内容为新增扣减积分营销活动档位信息新增处理逻辑，支持编号、名称、类型、状态、操作人员等内容的录入。</t>
  </si>
  <si>
    <t>扣减积分营销活动档位信息新增</t>
  </si>
  <si>
    <t>作为业务人员，当需要修改扣减积分营销活动档位信息时，能够通过此功能修改扣减积分营销活动档位信息，以便于及时更新营销活动相关数据。本次涉及调整修改内容为调整营销活动档位名称、是否有效、开始日期、结束日期等业务处理逻辑以满足营销活动配置管理需求。</t>
  </si>
  <si>
    <t>扣减积分营销活动档位信息修改</t>
  </si>
  <si>
    <t>扣减积分营销活动合约信息在产商品中心中维护和存储，支持业务人员对数据做维护管理，数据主要字段包括：月返还金额、编码、排序号、客户名称、合约名称、签约日期等；同时数据提供给营销活动配置管理业务引用。本次涉及调整修改内容为调整相关字段以适配营销活动业务变更需求。</t>
  </si>
  <si>
    <t>扣减积分营销活动合约信息</t>
  </si>
  <si>
    <t>作为业务人员，当需要查询扣减积分营销活动合约信息时，能够通过此功能查出业务编码、业务类型、分配源、分配目标、区县等信息，以便于快速获取营销活动相关信息。本次涉及调整修改内容为优化扣减积分营销活动合约信息查询功能。</t>
  </si>
  <si>
    <t>扣减积分营销活动合约信息查询</t>
  </si>
  <si>
    <t>作为业务人员，当需要删除扣减积分营销活动合约信息时，能够通过此功能删除扣减积分营销活动合约信息，以便于清理失效的营销活动配置数据。本次涉及调整修改内容为新增扣减积分营销活动合约信息删除处理逻辑，支持通过扣减积分营销活动合约信息编号删除指定记录。</t>
  </si>
  <si>
    <t>扣减积分营销活动合约信息删除</t>
  </si>
  <si>
    <t>作为业务人员，当需要新增扣减积分营销活动合约信息时，能够通过此功能新增扣减积分营销活动合约信息，以便于及时配置营销活动相关数据。本次涉及调整修改内容为新增扣减积分营销活动合约信息新增处理逻辑，支持编号、名称、类型、状态、操作人员等内容的录入。</t>
  </si>
  <si>
    <t>扣减积分营销活动合约信息新增</t>
  </si>
  <si>
    <t>作为业务人员，当需要修改扣减积分营销活动合约信息时，能够通过此功能修改扣减积分营销活动合约信息，以便于及时更新营销活动相关数据。本次涉及调整修改内容为调整业务类型、分配源、分配目标、区县等业务处理逻辑以满足营销活动配置管理需求。</t>
  </si>
  <si>
    <t>扣减积分营销活动合约信息修改</t>
  </si>
  <si>
    <t>扣减积分营销活动渠道信息在产商品中心中维护和存储，支持业务人员对数据做维护管理，数据主要字段包括：渠道地址、区县编码、创建时间、是否有效、删除标识、备注等；同时数据提供给营销活动配置管理业务引用。本次涉及调整修改内容为调整相关字段以适配营销活动业务变更需求。</t>
  </si>
  <si>
    <t>扣减积分营销活动渠道信息</t>
  </si>
  <si>
    <t>作为业务人员，当需要查询扣减积分营销活动渠道信息时，能够通过此功能查出业务编码、业务类型、分配源、分配目标、区县等信息，以便于快速获取营销活动相关信息。本次涉及调整修改内容为优化扣减积分营销活动渠道信息查询功能。</t>
  </si>
  <si>
    <t>扣减积分营销活动渠道信息查询</t>
  </si>
  <si>
    <t>作为业务人员，当需要删除扣减积分营销活动渠道信息时，能够通过此功能删除扣减积分营销活动渠道信息，以便于清理失效的营销活动配置数据。本次涉及调整修改内容为新增扣减积分营销活动渠道信息删除处理逻辑，支持通过扣减积分营销活动渠道信息编号删除指定记录。</t>
  </si>
  <si>
    <t>扣减积分营销活动渠道信息删除</t>
  </si>
  <si>
    <t>作为业务人员，当需要新增扣减积分营销活动渠道信息时，能够通过此功能新增扣减积分营销活动渠道信息，以便于及时配置营销活动相关数据。本次涉及调整修改内容为新增扣减积分营销活动渠道信息新增处理逻辑，支持编号、名称、类型、状态、操作人员等内容的录入。</t>
  </si>
  <si>
    <t>扣减积分营销活动渠道信息新增</t>
  </si>
  <si>
    <t>作为业务人员，当需要修改扣减积分营销活动渠道信息时，能够通过此功能修改扣减积分营销活动渠道信息，以便于及时更新营销活动相关数据。本次涉及调整修改内容为调整业务类型、分配源、分配目标、区县等业务处理逻辑以满足营销活动配置管理需求。</t>
  </si>
  <si>
    <t>扣减积分营销活动渠道信息修改</t>
  </si>
  <si>
    <t>扣减积分营销活动销售规则信息在产商品中心中维护和存储，支持业务人员对数据做维护管理，数据主要字段包括：执行条件、标签、适用渠道、是否启用、优先级、规则状态等；同时数据提供给营销活动配置管理业务引用。本次涉及调整修改内容为调整相关字段以适配营销活动业务变更需求。</t>
  </si>
  <si>
    <t>扣减积分营销活动销售规则信息</t>
  </si>
  <si>
    <t>作为业务人员，当需要查询扣减积分营销活动销售规则信息时，能够通过此功能查出任务执行编号、号码类型、服务号码、用户标识、地市编码等信息，以便于快速获取营销活动相关信息。本次涉及调整修改内容为优化扣减积分营销活动销售规则信息查询功能。</t>
  </si>
  <si>
    <t>扣减积分营销活动销售规则信息查询</t>
  </si>
  <si>
    <t>作为业务人员，当需要删除扣减积分营销活动销售规则信息时，能够通过此功能删除扣减积分营销活动销售规则信息，以便于清理失效的营销活动配置数据。本次涉及调整修改内容为新增扣减积分营销活动销售规则信息删除处理逻辑，支持通过扣减积分营销活动销售规则信息编号删除指定记录。</t>
  </si>
  <si>
    <t>扣减积分营销活动销售规则信息删除</t>
  </si>
  <si>
    <t>作为业务人员，当需要新增扣减积分营销活动销售规则信息时，能够通过此功能新增扣减积分营销活动销售规则信息，以便于及时配置营销活动相关数据。本次涉及调整修改内容为新增扣减积分营销活动销售规则信息新增处理逻辑，支持编号、名称、类型、状态、操作人员等内容的录入。</t>
  </si>
  <si>
    <t>扣减积分营销活动销售规则信息新增</t>
  </si>
  <si>
    <t>作为业务人员，当需要修改扣减积分营销活动销售规则信息时，能够通过此功能修改扣减积分营销活动销售规则信息，以便于及时更新营销活动相关数据。本次涉及调整修改内容为调整号码类型、服务号码、用户标识、终端型号等业务处理逻辑以满足营销活动配置管理需求。</t>
  </si>
  <si>
    <t>扣减积分营销活动销售规则信息修改</t>
  </si>
  <si>
    <t>扣减积分营销活动信息在产商品中心中维护和存储，支持业务人员对数据做维护管理，数据主要字段包括：生效时间、更新人、返还金额、开始日期、档位名称、活动编码等；同时数据提供给营销活动配置管理业务引用。本次涉及调整修改内容为调整相关字段以适配营销活动业务变更需求。</t>
  </si>
  <si>
    <t>扣减积分营销活动信息</t>
  </si>
  <si>
    <t>作为业务人员，当需要查询扣减积分营销活动信息时，能够通过此功能查出营销活动编码、营销活动名称、营销活动类型、业务类型、营销活动小类编码等信息，以便于快速获取营销活动相关信息。本次涉及调整修改内容为优化扣减积分营销活动信息查询功能。</t>
  </si>
  <si>
    <t>扣减积分营销活动信息查询</t>
  </si>
  <si>
    <t>作为业务人员，当需要删除扣减积分营销活动信息时，能够通过此功能删除扣减积分营销活动信息，以便于清理失效的营销活动配置数据。本次涉及调整修改内容为新增扣减积分营销活动信息删除处理逻辑，支持通过扣减积分营销活动信息编号删除指定记录。</t>
  </si>
  <si>
    <t>扣减积分营销活动信息删除</t>
  </si>
  <si>
    <t>作为业务人员，当需要新增扣减积分营销活动信息时，能够通过此功能新增扣减积分营销活动信息，以便于及时配置营销活动相关数据。本次涉及调整修改内容为新增扣减积分营销活动信息新增处理逻辑，支持编号、名称、类型、状态、操作人员等内容的录入。</t>
  </si>
  <si>
    <t>扣减积分营销活动信息新增</t>
  </si>
  <si>
    <t>作为业务人员，当需要修改扣减积分营销活动信息时，能够通过此功能修改扣减积分营销活动信息，以便于及时更新营销活动相关数据。本次涉及调整修改内容为调整营销活动名称、营销活动类型、业务类型、营销活动描述信息等业务处理逻辑以满足营销活动配置管理需求。</t>
  </si>
  <si>
    <t>扣减积分营销活动信息修改</t>
  </si>
  <si>
    <t>扣减积分营销活动审批信息在产商品中心中维护和存储，支持业务人员对数据做维护管理，数据主要字段包括：审批意见、业务编号、完成时间、审批批次号、审批流水、审批级别等；同时数据提供给营销活动审批流程管理业务引用。本次涉及调整修改内容为调整相关字段以适配营销活动业务变更需求。</t>
  </si>
  <si>
    <t>扣减积分营销活动审批信息</t>
  </si>
  <si>
    <t>作为业务人员，当需要查看扣减积分营销活动审批信息报表时，能够通过此功能查看扣减积分营销活动审批信息报表数据，以便于及时了解营销活动审批情况。本次涉及调整修改内容为调整报表统计业务处理逻辑。</t>
  </si>
  <si>
    <t>扣减积分营销活动审批信息报表</t>
  </si>
  <si>
    <t>作为业务人员，当需要查询扣减积分营销活动审批信息时，能够通过此功能查出审批流水、业务编号、业务类型、业务操作人工号、业务操作时间等信息，以便于快速获取营销活动相关信息。本次涉及调整修改内容为优化扣减积分营销活动审批信息查询功能。</t>
  </si>
  <si>
    <t>扣减积分营销活动审批信息查询</t>
  </si>
  <si>
    <t>作为业务人员，当需要删除扣减积分营销活动审批信息时，能够通过此功能删除扣减积分营销活动审批信息，以便于清理失效的营销活动配置数据。本次涉及调整修改内容为新增扣减积分营销活动审批信息删除处理逻辑，支持通过扣减积分营销活动审批信息编号删除指定记录。</t>
  </si>
  <si>
    <t>扣减积分营销活动审批信息删除</t>
  </si>
  <si>
    <t>作为业务人员，当需要新增扣减积分营销活动审批信息时，能够通过此功能新增扣减积分营销活动审批信息，以便于及时配置营销活动相关数据。本次涉及调整修改内容为新增扣减积分营销活动审批信息新增处理逻辑，支持编号、名称、类型、状态、操作人员等内容的录入。</t>
  </si>
  <si>
    <t>扣减积分营销活动审批信息新增</t>
  </si>
  <si>
    <t>作为业务人员，当需要修改扣减积分营销活动审批信息时，能够通过此功能修改扣减积分营销活动审批信息，以便于及时更新营销活动相关数据。本次涉及调整修改内容为调整业务类型、业务操作人工号、业务操作时间、审批描述信息等业务处理逻辑以满足营销活动配置管理需求。</t>
  </si>
  <si>
    <t>扣减积分营销活动审批信息修改</t>
  </si>
  <si>
    <t>扣减积分营销活动核查信息在产商品中心中维护和存储，支持业务人员对数据做维护管理，数据主要字段包括：验证次数、验证时间、类型、功能代码、是否启用、验证结果等，本次涉及调整修改内容为扣减积分营销活动验证信息等；同时数据提供给营销活动信息核查业务引用。本次涉及调整修改内容为调整相关字段以适配营销活动业务变更需求。</t>
  </si>
  <si>
    <t>扣减积分营销活动核查信息</t>
  </si>
  <si>
    <t>作为业务人员，当需要查询扣减积分营销活动核查信息时，能够通过此功能查出业务编码、业务类型、分配源、分配目标、区县等信息，以便于快速获取营销活动相关信息。本次涉及调整修改内容为优化扣减积分营销活动核查信息查询功能。</t>
  </si>
  <si>
    <t>扣减积分营销活动核查信息查询</t>
  </si>
  <si>
    <t>作为业务人员，当需要删除扣减积分营销活动核查信息时，能够通过此功能删除扣减积分营销活动核查信息，以便于清理失效的营销活动配置数据。本次涉及调整修改内容为新增扣减积分营销活动核查信息删除处理逻辑，支持通过扣减积分营销活动验证信息编号删除指定记录。</t>
  </si>
  <si>
    <t>扣减积分营销活动核查信息删除</t>
  </si>
  <si>
    <t>作为业务人员，当需要新增扣减积分营销活动核查信息时，能够通过此功能新增扣减积分营销活动核查信息，以便于及时配置营销活动相关数据。本次涉及调整修改内容为新增扣减积分营销活动核查信息新增处理逻辑，支持编号、名称、类型、状态、操作人员等内容的录入。</t>
  </si>
  <si>
    <t>扣减积分营销活动核查信息新增</t>
  </si>
  <si>
    <t>扣减积分营销模板信息在产商品中心中维护和存储，支持业务人员对数据做维护管理，数据主要字段包括：版本号、类型、编码、描述、活动状态、名称等；同时数据提供给营销活动模板配置业务引用。本次涉及调整修改内容为调整相关字段以适配营销活动业务变更需求。</t>
  </si>
  <si>
    <t>扣减积分营销模板信息</t>
  </si>
  <si>
    <t>作为业务人员，当需要查询扣减积分营销模板信息时，能够通过此功能查出业务编码、业务类型、分配源、分配目标、区县等信息，以便于快速获取营销活动相关信息。本次涉及调整修改内容为优化扣减积分营销模板信息查询功能。</t>
  </si>
  <si>
    <t>扣减积分营销模板信息查询</t>
  </si>
  <si>
    <t>作为业务人员，当需要删除扣减积分营销模板信息时，能够通过此功能删除扣减积分营销模板信息，以便于清理失效的营销活动配置数据。本次涉及调整修改内容为新增扣减积分营销模板信息删除处理逻辑，支持通过扣减积分营销模板信息编号删除指定记录。</t>
  </si>
  <si>
    <t>扣减积分营销模板信息删除</t>
  </si>
  <si>
    <t>作为业务人员，当需要新增扣减积分营销模板信息时，能够通过此功能新增扣减积分营销模板信息，以便于及时配置营销活动相关数据。本次涉及调整修改内容为新增扣减积分营销模板信息新增处理逻辑，支持编号、名称、类型、状态、操作人员等内容的录入。</t>
  </si>
  <si>
    <t>扣减积分营销模板信息新增</t>
  </si>
  <si>
    <t>作为业务人员，当需要修改扣减积分营销模板信息时，能够通过此功能修改扣减积分营销模板信息，以便于及时更新营销活动相关数据。本次涉及调整修改内容为调整业务类型、分配源、分配目标、区县等业务处理逻辑以满足营销活动配置管理需求。</t>
  </si>
  <si>
    <t>扣减积分营销模板信息修改</t>
  </si>
  <si>
    <t>捆绑资费营销活动档位信息在产商品中心中维护和存储，支持业务人员对数据做维护管理，数据主要字段包括：统一活动编码、启用状态、档位状态、排序号、优惠金额、操作员工号等；同时数据提供给营销活动配置管理业务引用。本次涉及调整修改内容为调整相关字段以适配营销活动业务变更需求。</t>
  </si>
  <si>
    <t>捆绑资费营销活动档位信息</t>
  </si>
  <si>
    <t>作为业务人员，当需要查询捆绑资费营销活动档位信息时，能够通过此功能查出营销活动档位编码、营销活动档位名称、活动编码、是否有效、开始日期等信息，以便于快速获取营销活动相关信息。本次涉及调整修改内容为优化捆绑资费营销活动档位信息查询功能。</t>
  </si>
  <si>
    <t>捆绑资费营销活动档位信息查询</t>
  </si>
  <si>
    <t>作为业务人员，当需要删除捆绑资费营销活动档位信息时，能够通过此功能删除捆绑资费营销活动档位信息，以便于清理失效的营销活动配置数据。本次涉及调整修改内容为新增捆绑资费营销活动档位信息删除处理逻辑，支持通过捆绑资费营销活动档位信息编号删除指定记录。</t>
  </si>
  <si>
    <t>捆绑资费营销活动档位信息删除</t>
  </si>
  <si>
    <t>作为业务人员，当需要新增捆绑资费营销活动档位信息时，能够通过此功能新增捆绑资费营销活动档位信息，以便于及时配置营销活动相关数据。本次涉及调整修改内容为新增捆绑资费营销活动档位信息新增处理逻辑，支持编号、名称、类型、状态、操作人员等内容的录入。</t>
  </si>
  <si>
    <t>捆绑资费营销活动档位信息新增</t>
  </si>
  <si>
    <t>作为业务人员，当需要修改捆绑资费营销活动档位信息时，能够通过此功能修改捆绑资费营销活动档位信息，以便于及时更新营销活动相关数据。本次涉及调整修改内容为调整营销活动档位名称、是否有效、开始日期、结束日期等业务处理逻辑以满足营销活动配置管理需求。</t>
  </si>
  <si>
    <t>捆绑资费营销活动档位信息修改</t>
  </si>
  <si>
    <t>捆绑资费营销活动合约信息在产商品中心中维护和存储，支持业务人员对数据做维护管理，数据主要字段包括：解约日期、是否启用、是否有效、合约金额、标签、返还周期等；同时数据提供给营销活动配置管理业务引用。本次涉及调整修改内容为调整相关字段以适配营销活动业务变更需求。</t>
  </si>
  <si>
    <t>捆绑资费营销活动合约信息</t>
  </si>
  <si>
    <t>作为业务人员，当需要查询捆绑资费营销活动合约信息时，能够通过此功能查出任务执行编号、号码类型、服务号码、用户标识、地市编码等信息，以便于快速获取营销活动相关信息。本次涉及调整修改内容为优化捆绑资费营销活动合约信息查询功能。</t>
  </si>
  <si>
    <t>捆绑资费营销活动合约信息查询</t>
  </si>
  <si>
    <t>作为业务人员，当需要删除捆绑资费营销活动合约信息时，能够通过此功能删除捆绑资费营销活动合约信息，以便于清理失效的营销活动配置数据。本次涉及调整修改内容为新增捆绑资费营销活动合约信息删除处理逻辑，支持通过捆绑资费营销活动合约信息编号删除指定记录。</t>
  </si>
  <si>
    <t>捆绑资费营销活动合约信息删除</t>
  </si>
  <si>
    <t>作为业务人员，当需要新增捆绑资费营销活动合约信息时，能够通过此功能新增捆绑资费营销活动合约信息，以便于及时配置营销活动相关数据。本次涉及调整修改内容为新增捆绑资费营销活动合约信息新增处理逻辑，支持编号、名称、类型、状态、操作人员等内容的录入。</t>
  </si>
  <si>
    <t>捆绑资费营销活动合约信息新增</t>
  </si>
  <si>
    <t>作为业务人员，当需要修改捆绑资费营销活动合约信息时，能够通过此功能修改捆绑资费营销活动合约信息，以便于及时更新营销活动相关数据。本次涉及调整修改内容为调整号码类型、服务号码、用户标识、保留预存金额等业务处理逻辑以满足营销活动配置管理需求。</t>
  </si>
  <si>
    <t>捆绑资费营销活动合约信息修改</t>
  </si>
  <si>
    <t>捆绑资费营销活动渠道信息在产商品中心中维护和存储，支持业务人员对数据做维护管理，数据主要字段包括：名称、渠道负责人、渠道地址、标签、联系人、排序号等；同时数据提供给营销活动配置管理业务引用。本次涉及调整修改内容为调整相关字段以适配营销活动业务变更需求。</t>
  </si>
  <si>
    <t>捆绑资费营销活动渠道信息</t>
  </si>
  <si>
    <t>作为业务人员，当需要查询捆绑资费营销活动渠道信息时，能够通过此功能查出任务执行编号、号码类型、服务号码、用户标识、地市编码等信息，以便于快速获取营销活动相关信息。本次涉及调整修改内容为优化捆绑资费营销活动渠道信息查询功能。</t>
  </si>
  <si>
    <t>捆绑资费营销活动渠道信息查询</t>
  </si>
  <si>
    <t>作为业务人员，当需要删除捆绑资费营销活动渠道信息时，能够通过此功能删除捆绑资费营销活动渠道信息，以便于清理失效的营销活动配置数据。本次涉及调整修改内容为新增捆绑资费营销活动渠道信息删除处理逻辑，支持通过捆绑资费营销活动渠道信息编号删除指定记录。</t>
  </si>
  <si>
    <t>捆绑资费营销活动渠道信息删除</t>
  </si>
  <si>
    <t>作为业务人员，当需要新增捆绑资费营销活动渠道信息时，能够通过此功能新增捆绑资费营销活动渠道信息，以便于及时配置营销活动相关数据。本次涉及调整修改内容为新增捆绑资费营销活动渠道信息新增处理逻辑，支持编号、名称、类型、状态、操作人员等内容的录入。</t>
  </si>
  <si>
    <t>捆绑资费营销活动渠道信息新增</t>
  </si>
  <si>
    <t>作为业务人员，当需要修改捆绑资费营销活动渠道信息时，能够通过此功能修改捆绑资费营销活动渠道信息，以便于及时更新营销活动相关数据。本次涉及调整修改内容为调整号码类型、服务号码、用户标识、保留预存金额等业务处理逻辑以满足营销活动配置管理需求。</t>
  </si>
  <si>
    <t>捆绑资费营销活动渠道信息修改</t>
  </si>
  <si>
    <t>捆绑资费营销活动销售规则信息在产商品中心中维护和存储，支持业务人员对数据做维护管理，数据主要字段包括：创建时间、排序号、名称、规则标签、描述、备注等；同时数据提供给营销活动配置管理业务引用。本次涉及调整修改内容为调整相关字段以适配营销活动业务变更需求。</t>
  </si>
  <si>
    <t>捆绑资费营销活动销售规则信息</t>
  </si>
  <si>
    <t>作为业务人员，当需要查询捆绑资费营销活动销售规则信息时，能够通过此功能查出任务执行编号、号码类型、服务号码、用户标识、地市编码等信息，以便于快速获取营销活动相关信息。本次涉及调整修改内容为优化捆绑资费营销活动销售规则信息查询功能。</t>
  </si>
  <si>
    <t>捆绑资费营销活动销售规则信息查询</t>
  </si>
  <si>
    <t>作为业务人员，当需要删除捆绑资费营销活动销售规则信息时，能够通过此功能删除捆绑资费营销活动销售规则信息，以便于清理失效的营销活动配置数据。本次涉及调整修改内容为新增捆绑资费营销活动销售规则信息删除处理逻辑，支持通过捆绑资费营销活动销售规则信息编号删除指定记录。</t>
  </si>
  <si>
    <t>捆绑资费营销活动销售规则信息删除</t>
  </si>
  <si>
    <t>作为业务人员，当需要新增捆绑资费营销活动销售规则信息时，能够通过此功能新增捆绑资费营销活动销售规则信息，以便于及时配置营销活动相关数据。本次涉及调整修改内容为新增捆绑资费营销活动销售规则信息新增处理逻辑，支持编号、名称、类型、状态、操作人员等内容的录入。</t>
  </si>
  <si>
    <t>捆绑资费营销活动销售规则信息新增</t>
  </si>
  <si>
    <t>作为业务人员，当需要修改捆绑资费营销活动销售规则信息时，能够通过此功能修改捆绑资费营销活动销售规则信息，以便于及时更新营销活动相关数据。本次涉及调整修改内容为调整号码类型、服务号码、用户标识、保留预存金额等业务处理逻辑以满足营销活动配置管理需求。</t>
  </si>
  <si>
    <t>捆绑资费营销活动销售规则信息修改</t>
  </si>
  <si>
    <t>捆绑资费营销活动信息在产商品中心中维护和存储，支持业务人员对数据做维护管理，数据主要字段包括：创建时间、启用状态、返还金额、标签、是否有效、描述等；同时数据提供给营销活动配置管理业务引用。本次涉及调整修改内容为调整相关字段以适配营销活动业务变更需求。</t>
  </si>
  <si>
    <t>捆绑资费营销活动信息</t>
  </si>
  <si>
    <t>作为业务人员，当需要查询捆绑资费营销活动信息时，能够通过此功能查出营销活动编码、营销活动名称、营销活动类型、业务类型、营销活动小类编码等信息，以便于快速获取营销活动相关信息。本次涉及调整修改内容为优化捆绑资费营销活动信息查询功能。</t>
  </si>
  <si>
    <t>捆绑资费营销活动信息查询</t>
  </si>
  <si>
    <t>作为业务人员，当需要删除捆绑资费营销活动信息时，能够通过此功能删除捆绑资费营销活动信息，以便于清理失效的营销活动配置数据。本次涉及调整修改内容为新增捆绑资费营销活动信息删除处理逻辑，支持通过捆绑资费营销活动信息编号删除指定记录。</t>
  </si>
  <si>
    <t>捆绑资费营销活动信息删除</t>
  </si>
  <si>
    <t>作为业务人员，当需要新增捆绑资费营销活动信息时，能够通过此功能新增捆绑资费营销活动信息，以便于及时配置营销活动相关数据。本次涉及调整修改内容为新增捆绑资费营销活动信息新增处理逻辑，支持编号、名称、类型、状态、操作人员等内容的录入。</t>
  </si>
  <si>
    <t>捆绑资费营销活动信息新增</t>
  </si>
  <si>
    <t>作为业务人员，当需要修改捆绑资费营销活动信息时，能够通过此功能修改捆绑资费营销活动信息，以便于及时更新营销活动相关数据。本次涉及调整修改内容为调整营销活动名称、营销活动类型、业务类型、营销活动描述信息等业务处理逻辑以满足营销活动配置管理需求。</t>
  </si>
  <si>
    <t>捆绑资费营销活动信息修改</t>
  </si>
  <si>
    <t>捆绑资费营销活动审批信息在产商品中心中维护和存储，支持业务人员对数据做维护管理，数据主要字段包括：审批意见、更新时间、是否启用、审批级别、审批部门、审批状态等；同时数据提供给营销活动审批流程管理业务引用。本次涉及调整修改内容为调整相关字段以适配营销活动业务变更需求。</t>
  </si>
  <si>
    <t>捆绑资费营销活动审批信息</t>
  </si>
  <si>
    <t>作为业务人员，当需要查看捆绑资费营销活动审批信息报表时，能够通过此功能查看捆绑资费营销活动审批信息报表数据，以便于及时了解营销活动审批情况。本次涉及调整修改内容为调整报表统计业务处理逻辑。</t>
  </si>
  <si>
    <t>捆绑资费营销活动审批信息报表</t>
  </si>
  <si>
    <t>作为业务人员，当需要查询捆绑资费营销活动审批信息时，能够通过此功能查出审批流水、业务编号、业务类型、业务操作人工号、业务操作时间等信息，以便于快速获取营销活动相关信息。本次涉及调整修改内容为优化捆绑资费营销活动审批信息查询功能。</t>
  </si>
  <si>
    <t>捆绑资费营销活动审批信息查询</t>
  </si>
  <si>
    <t>作为业务人员，当需要删除捆绑资费营销活动审批信息时，能够通过此功能删除捆绑资费营销活动审批信息，以便于清理失效的营销活动配置数据。本次涉及调整修改内容为新增捆绑资费营销活动审批信息删除处理逻辑，支持通过捆绑资费营销活动审批信息编号删除指定记录。</t>
  </si>
  <si>
    <t>捆绑资费营销活动审批信息删除</t>
  </si>
  <si>
    <t>作为业务人员，当需要新增捆绑资费营销活动审批信息时，能够通过此功能新增捆绑资费营销活动审批信息，以便于及时配置营销活动相关数据。本次涉及调整修改内容为新增捆绑资费营销活动审批信息新增处理逻辑，支持编号、名称、类型、状态、操作人员等内容的录入。</t>
  </si>
  <si>
    <t>捆绑资费营销活动审批信息新增</t>
  </si>
  <si>
    <t>作为业务人员，当需要修改捆绑资费营销活动审批信息时，能够通过此功能修改捆绑资费营销活动审批信息，以便于及时更新营销活动相关数据。本次涉及调整修改内容为调整业务类型、业务操作人工号、业务操作时间、审批描述信息等业务处理逻辑以满足营销活动配置管理需求。</t>
  </si>
  <si>
    <t>捆绑资费营销活动审批信息修改</t>
  </si>
  <si>
    <t>捆绑资费营销活动核查信息在产商品中心中维护和存储，支持业务人员对数据做维护管理，数据主要字段包括：验证状态、版本号、验证渠道、删除标识、验证描述、更新人等，本次涉及调整修改内容为捆绑资费营销活动验证信息等；同时数据提供给营销活动信息核查业务引用。本次涉及调整修改内容为调整相关字段以适配营销活动业务变更需求。</t>
  </si>
  <si>
    <t>捆绑资费营销活动核查信息</t>
  </si>
  <si>
    <t>作为业务人员，当需要查询捆绑资费营销活动核查信息时，能够通过此功能查出任务执行编号、号码类型、服务号码、用户标识、地市编码等信息，以便于快速获取营销活动相关信息。本次涉及调整修改内容为优化捆绑资费营销活动核查信息查询功能。</t>
  </si>
  <si>
    <t>捆绑资费营销活动核查信息查询</t>
  </si>
  <si>
    <t>作为业务人员，当需要删除捆绑资费营销活动核查信息时，能够通过此功能删除捆绑资费营销活动核查信息，以便于清理失效的营销活动配置数据。本次涉及调整修改内容为新增捆绑资费营销活动核查信息删除处理逻辑，支持通过捆绑资费营销活动验证信息编号删除指定记录。</t>
  </si>
  <si>
    <t>捆绑资费营销活动核查信息删除</t>
  </si>
  <si>
    <t>作为业务人员，当需要新增捆绑资费营销活动核查信息时，能够通过此功能新增捆绑资费营销活动核查信息，以便于及时配置营销活动相关数据。本次涉及调整修改内容为新增捆绑资费营销活动核查信息新增处理逻辑，支持编号、名称、类型、状态、操作人员等内容的录入。</t>
  </si>
  <si>
    <t>捆绑资费营销活动核查信息新增</t>
  </si>
  <si>
    <t>捆绑资费营销模板信息在产商品中心中维护和存储，支持业务人员对数据做维护管理，数据主要字段包括：任务执行编号、号码类型、服务号码、用户标识、地市编码、保留预存金额、预存款、纯预存、交费生效时间、赠送金额等；同时数据提供给营销活动模板配置业务引用。本次涉及调整修改内容为调整相关字段以适配营销活动业务变更需求。</t>
  </si>
  <si>
    <t>捆绑资费营销模板信息</t>
  </si>
  <si>
    <t>作为业务人员，当需要查询捆绑资费营销模板信息时，能够通过此功能查出任务执行编号、号码类型、服务号码、用户标识、地市编码等信息，以便于快速获取营销活动相关信息。本次涉及调整修改内容为优化捆绑资费营销模板信息查询功能。</t>
  </si>
  <si>
    <t>捆绑资费营销模板信息查询</t>
  </si>
  <si>
    <t>作为业务人员，当需要删除捆绑资费营销模板信息时，能够通过此功能删除捆绑资费营销模板信息，以便于清理失效的营销活动配置数据。本次涉及调整修改内容为新增捆绑资费营销模板信息删除处理逻辑，支持通过捆绑资费营销模板信息编号删除指定记录。</t>
  </si>
  <si>
    <t>捆绑资费营销模板信息删除</t>
  </si>
  <si>
    <t>作为业务人员，当需要新增捆绑资费营销模板信息时，能够通过此功能新增捆绑资费营销模板信息，以便于及时配置营销活动相关数据。本次涉及调整修改内容为新增捆绑资费营销模板信息新增处理逻辑，支持编号、名称、类型、状态、操作人员等内容的录入。</t>
  </si>
  <si>
    <t>捆绑资费营销模板信息新增</t>
  </si>
  <si>
    <t>作为业务人员，当需要修改捆绑资费营销模板信息时，能够通过此功能修改捆绑资费营销模板信息，以便于及时更新营销活动相关数据。本次涉及调整修改内容为调整号码类型、服务号码、用户标识、保留预存金额等业务处理逻辑以满足营销活动配置管理需求。</t>
  </si>
  <si>
    <t>捆绑资费营销模板信息修改</t>
  </si>
  <si>
    <t>裸机营销活动补贴信息在产商品中心中维护和存储，支持业务人员对数据做维护管理，数据主要字段包括：活动优先级、编码、活动描述、更新人、描述、操作员工号等；同时数据提供给终端营销活动管理业务引用。本次涉及调整修改内容为调整相关字段以适配营销活动业务变更需求。</t>
  </si>
  <si>
    <t>裸机营销活动补贴信息</t>
  </si>
  <si>
    <t>作为业务人员，当需要查询裸机营销活动补贴信息时，能够通过此功能查出活动、地市编码、活动属性标识、活动属性、活动属性名称等信息，以便于快速获取营销活动相关信息。本次涉及调整修改内容为优化裸机营销活动补贴信息查询功能。</t>
  </si>
  <si>
    <t>裸机营销活动补贴信息查询</t>
  </si>
  <si>
    <t>作为业务人员，当需要删除裸机营销活动补贴信息时，能够通过此功能删除裸机营销活动补贴信息，以便于清理失效的营销活动配置数据。本次涉及调整修改内容为新增裸机营销活动补贴信息删除处理逻辑，支持通过裸机营销活动补贴信息编号删除指定记录。</t>
  </si>
  <si>
    <t>裸机营销活动补贴信息删除</t>
  </si>
  <si>
    <t>作为业务人员，当需要新增裸机营销活动补贴信息时，能够通过此功能新增裸机营销活动补贴信息，以便于及时配置营销活动相关数据。本次涉及调整修改内容为新增裸机营销活动补贴信息新增处理逻辑，支持编号、名称、类型、状态、操作人员等内容的录入。</t>
  </si>
  <si>
    <t>裸机营销活动补贴信息新增</t>
  </si>
  <si>
    <t>作为业务人员，当需要修改裸机营销活动补贴信息时，能够通过此功能修改裸机营销活动补贴信息，以便于及时更新营销活动相关数据。本次涉及调整修改内容为调整活动、活动属性标识、活动属性、活动属性名称等业务处理逻辑以满足营销活动配置管理需求。</t>
  </si>
  <si>
    <t>裸机营销活动补贴信息修改</t>
  </si>
  <si>
    <t>裸机营销活动订购信息在产商品中心中维护和存储，支持业务人员对数据做维护管理，数据主要字段包括：活动描述信息、名称、是否有效、活动编码、生效时间、更新人等；同时数据提供给终端营销活动管理业务引用。本次涉及调整修改内容为调整相关字段以适配营销活动业务变更需求。</t>
  </si>
  <si>
    <t>裸机营销活动订购信息</t>
  </si>
  <si>
    <t>作为业务人员，当需要查询裸机营销活动订购信息时，能够通过此功能查出地市编码、渠道类型、用户标识、服务号码、活动编号等信息，以便于快速获取营销活动相关信息。本次涉及调整修改内容为优化裸机营销活动订购信息查询功能。</t>
  </si>
  <si>
    <t>裸机营销活动订购信息查询</t>
  </si>
  <si>
    <t>作为业务人员，当需要删除裸机营销活动订购信息时，能够通过此功能删除裸机营销活动订购信息，以便于清理失效的营销活动配置数据。本次涉及调整修改内容为新增裸机营销活动订购信息删除处理逻辑，支持通过裸机营销活动订购信息编号删除指定记录。</t>
  </si>
  <si>
    <t>裸机营销活动订购信息删除</t>
  </si>
  <si>
    <t>作为业务人员，当需要新增裸机营销活动订购信息时，能够通过此功能新增裸机营销活动订购信息，以便于及时配置营销活动相关数据。本次涉及调整修改内容为新增裸机营销活动订购信息新增处理逻辑，支持编号、名称、类型、状态、操作人员等内容的录入。</t>
  </si>
  <si>
    <t>裸机营销活动订购信息新增</t>
  </si>
  <si>
    <t>作为业务人员，当需要修改裸机营销活动订购信息时，能够通过此功能修改裸机营销活动订购信息，以便于及时更新营销活动相关数据。本次涉及调整修改内容为调整渠道类型、用户标识、服务号码、工单号等业务处理逻辑以满足营销活动配置管理需求。</t>
  </si>
  <si>
    <t>裸机营销活动订购信息修改</t>
  </si>
  <si>
    <t>裸机营销活动信息在产商品中心中维护和存储，支持业务人员对数据做维护管理，数据主要字段包括：活动名称、返还月数、优惠金额、返还金额、启用状态、生效时间等；同时数据提供给终端营销活动管理业务引用。本次涉及调整修改内容为调整相关字段以适配营销活动业务变更需求。</t>
  </si>
  <si>
    <t>裸机营销活动信息</t>
  </si>
  <si>
    <t>作为业务人员，当需要查询裸机营销活动信息时，能够通过此功能查出营销活动编码、营销活动名称、营销活动类型、业务类型、营销活动小类编码等信息，以便于快速获取营销活动相关信息。本次涉及调整修改内容为优化裸机营销活动信息查询功能。</t>
  </si>
  <si>
    <t>裸机营销活动信息查询</t>
  </si>
  <si>
    <t>作为业务人员，当需要删除裸机营销活动信息时，能够通过此功能删除裸机营销活动信息，以便于清理失效的营销活动配置数据。本次涉及调整修改内容为新增裸机营销活动信息删除处理逻辑，支持通过裸机营销活动信息编号删除指定记录。</t>
  </si>
  <si>
    <t>裸机营销活动信息删除</t>
  </si>
  <si>
    <t>作为业务人员，当需要新增裸机营销活动信息时，能够通过此功能新增裸机营销活动信息，以便于及时配置营销活动相关数据。本次涉及调整修改内容为新增裸机营销活动信息新增处理逻辑，支持编号、名称、类型、状态、操作人员等内容的录入。</t>
  </si>
  <si>
    <t>裸机营销活动信息新增</t>
  </si>
  <si>
    <t>作为业务人员，当需要修改裸机营销活动信息时，能够通过此功能修改裸机营销活动信息，以便于及时更新营销活动相关数据。本次涉及调整修改内容为调整营销活动名称、营销活动类型、业务类型、营销活动描述信息等业务处理逻辑以满足营销活动配置管理需求。</t>
  </si>
  <si>
    <t>裸机营销活动信息修改</t>
  </si>
  <si>
    <t>裸机营销活动终端型号信息在产商品中心中维护和存储，支持业务人员对数据做维护管理，数据主要字段包括：活动名称、更新时间、活动状态、归属人、类型、创建时间等；同时数据提供给终端营销活动管理业务引用。本次涉及调整修改内容为调整相关字段以适配营销活动业务变更需求。</t>
  </si>
  <si>
    <t>裸机营销活动终端型号信息</t>
  </si>
  <si>
    <t>作为业务人员，当需要查询裸机营销活动终端型号信息时，能够通过此功能查出地市编码、渠道类型、用户标识、服务号码、活动编号等信息，以便于快速获取营销活动相关信息。本次涉及调整修改内容为优化裸机营销活动终端型号信息查询功能。</t>
  </si>
  <si>
    <t>裸机营销活动终端型号信息查询</t>
  </si>
  <si>
    <t>作为业务人员，当需要删除裸机营销活动终端型号信息时，能够通过此功能删除裸机营销活动终端型号信息，以便于清理失效的营销活动配置数据。本次涉及调整修改内容为新增裸机营销活动终端型号信息删除处理逻辑，支持通过裸机营销活动终端型号信息编号删除指定记录。</t>
  </si>
  <si>
    <t>裸机营销活动终端型号信息删除</t>
  </si>
  <si>
    <t>作为业务人员，当需要新增裸机营销活动终端型号信息时，能够通过此功能新增裸机营销活动终端型号信息，以便于及时配置营销活动相关数据。本次涉及调整修改内容为新增裸机营销活动终端型号信息新增处理逻辑，支持编号、名称、类型、状态、操作人员等内容的录入。</t>
  </si>
  <si>
    <t>裸机营销活动终端型号信息新增</t>
  </si>
  <si>
    <t>作为业务人员，当需要修改裸机营销活动终端型号信息时，能够通过此功能修改裸机营销活动终端型号信息，以便于及时更新营销活动相关数据。本次涉及调整修改内容为调整渠道类型、用户标识、服务号码、工单号等业务处理逻辑以满足营销活动配置管理需求。</t>
  </si>
  <si>
    <t>裸机营销活动终端型号信息修改</t>
  </si>
  <si>
    <t>营销前项限制</t>
  </si>
  <si>
    <t>营销活动前项限制规则配置</t>
  </si>
  <si>
    <t>营销SQL规则配置数据在产商品中心中维护和存储，支持业务人员对数据做维护管理，数据主要字段包括：区分前项和后项限制、校验权限、相对生效时间、校验顺序、是否全局限制标识等；同时数据提供给营销活动前项限制规则配置业务引用。本次涉及调整修改内容为调整相关字段以适配营销活动业务变更需求。</t>
  </si>
  <si>
    <t>营销SQL规则配置数据</t>
  </si>
  <si>
    <t>作为业务人员，当需要查询营销SQL规则配置数据时，能够通过此功能查出区分前项和后项限制、校验权限、相对生效时间、校验顺序、是否全局限制标识等信息，以便于快速获取营销活动相关信息。本次涉及调整修改内容为优化营销SQL规则配置数据查询功能。</t>
  </si>
  <si>
    <t>营销SQL规则配置数据查询</t>
  </si>
  <si>
    <t>作为业务人员，当需要删除营销SQL规则配置数据时，能够通过此功能删除营销SQL规则配置数据，以便于清理失效的营销活动配置数据。本次涉及调整修改内容为新增营销SQL规则配置数据删除处理逻辑，支持通过营销SQL规则配置数据编号删除指定记录。</t>
  </si>
  <si>
    <t>营销SQL规则配置数据删除</t>
  </si>
  <si>
    <t>作为业务人员，当需要新增营销SQL规则配置数据时，能够通过此功能新增营销SQL规则配置数据，以便于及时配置营销活动相关数据。本次涉及调整修改内容为新增营销SQL规则配置数据新增处理逻辑，支持编号、名称、类型、状态、操作人员等内容的录入。</t>
  </si>
  <si>
    <t>营销SQL规则配置数据新增</t>
  </si>
  <si>
    <t>作为业务人员，当需要修改营销SQL规则配置数据时，能够通过此功能修改营销SQL规则配置数据，以便于及时更新营销活动相关数据。本次涉及调整修改内容为调整区分前项和后项限制、校验权限、相对生效时间、校验顺序等业务处理逻辑以满足营销活动配置管理需求。</t>
  </si>
  <si>
    <t>营销SQL规则配置数据修改</t>
  </si>
  <si>
    <t>营销服务规则信息在产商品中心中维护和存储，支持业务人员对数据做维护管理，数据主要字段包括：备注、活动描述、活动描述信息、是否启用、主办单位、创建部门等；同时数据提供给营销活动前项限制规则配置业务引用。本次涉及调整修改内容为调整相关字段以适配营销活动业务变更需求。</t>
  </si>
  <si>
    <t>营销服务规则信息</t>
  </si>
  <si>
    <t>作为业务人员，当需要查询营销服务规则信息时，能够通过此功能查出营销活动编码、营销活动名称、营销活动类型、业务类型、营销活动小类编码等信息，以便于快速获取营销活动相关信息。本次涉及调整修改内容为优化营销服务规则信息查询功能。</t>
  </si>
  <si>
    <t>营销服务规则信息查询</t>
  </si>
  <si>
    <t>作为业务人员，当需要删除营销服务规则信息时，能够通过此功能删除营销服务规则信息，以便于清理失效的营销活动配置数据。本次涉及调整修改内容为新增营销服务规则信息删除处理逻辑，支持通过营销服务规则信息编号删除指定记录。</t>
  </si>
  <si>
    <t>营销服务规则信息删除</t>
  </si>
  <si>
    <t>作为业务人员，当需要新增营销服务规则信息时，能够通过此功能新增营销服务规则信息，以便于及时配置营销活动相关数据。本次涉及调整修改内容为新增营销服务规则信息新增处理逻辑，支持编号、名称、类型、状态、操作人员等内容的录入。</t>
  </si>
  <si>
    <t>营销服务规则信息新增</t>
  </si>
  <si>
    <t>作为业务人员，当需要修改营销服务规则信息时，能够通过此功能修改营销服务规则信息，以便于及时更新营销活动相关数据。本次涉及调整修改内容为调整营销活动名称、营销活动类型、业务类型、营销活动描述信息等业务处理逻辑以满足营销活动配置管理需求。</t>
  </si>
  <si>
    <t>营销服务规则信息修改</t>
  </si>
  <si>
    <t>营销规则参数定义信息在产商品中心中维护和存储，支持业务人员对数据做维护管理，数据主要字段包括：类型、主键ID、业务类型、状态、更新人、活动名称等；同时数据提供给营销活动前项限制规则配置业务引用。本次涉及调整修改内容为调整相关字段以适配营销活动业务变更需求。</t>
  </si>
  <si>
    <t>营销规则参数定义信息</t>
  </si>
  <si>
    <t>作为业务人员，当需要查询营销规则参数定义信息时，能够通过此功能查出活动、地市编码、活动属性标识、活动属性、活动属性名称等信息，以便于快速获取营销活动相关信息。本次涉及调整修改内容为优化营销规则参数定义信息查询功能。</t>
  </si>
  <si>
    <t>营销规则参数定义信息查询</t>
  </si>
  <si>
    <t>作为业务人员，当需要删除营销规则参数定义信息时，能够通过此功能删除营销规则参数定义信息，以便于清理失效的营销活动配置数据。本次涉及调整修改内容为新增营销规则参数定义信息删除处理逻辑，支持通过营销规则参数定义信息编号删除指定记录。</t>
  </si>
  <si>
    <t>营销规则参数定义信息删除</t>
  </si>
  <si>
    <t>作为业务人员，当需要新增营销规则参数定义信息时，能够通过此功能新增营销规则参数定义信息，以便于及时配置营销活动相关数据。本次涉及调整修改内容为新增营销规则参数定义信息新增处理逻辑，支持编号、名称、类型、状态、操作人员等内容的录入。</t>
  </si>
  <si>
    <t>营销规则参数定义信息新增</t>
  </si>
  <si>
    <t>作为业务人员，当需要修改营销规则参数定义信息时，能够通过此功能修改营销规则参数定义信息，以便于及时更新营销活动相关数据。本次涉及调整修改内容为调整活动、活动属性标识、活动属性、活动属性名称等业务处理逻辑以满足营销活动配置管理需求。</t>
  </si>
  <si>
    <t>营销规则参数定义信息修改</t>
  </si>
  <si>
    <t>营销规则控制数据在产商品中心中维护和存储，支持业务人员对数据做维护管理，数据主要字段包括：创建人、删除标识、描述、是否有效、是否启用、名称等；同时数据提供给营销活动前项限制规则配置业务引用。本次涉及调整修改内容为调整相关字段以适配营销活动业务变更需求。</t>
  </si>
  <si>
    <t>营销规则控制数据</t>
  </si>
  <si>
    <t>作为业务人员，当需要查询营销规则控制数据时，能够通过此功能查出校验来源、模板ID、是否校验等信息，以便于快速获取营销活动相关信息。本次涉及调整修改内容为优化营销规则控制数据查询功能。</t>
  </si>
  <si>
    <t>营销规则控制数据查询</t>
  </si>
  <si>
    <t>作为业务人员，当需要删除营销规则控制数据时，能够通过此功能删除营销规则控制数据，以便于清理失效的营销活动配置数据。本次涉及调整修改内容为新增营销规则控制数据删除处理逻辑，支持通过营销规则控制数据编号删除指定记录。</t>
  </si>
  <si>
    <t>营销规则控制数据删除</t>
  </si>
  <si>
    <t>作为业务人员，当需要新增营销规则控制数据时，能够通过此功能新增营销规则控制数据，以便于及时配置营销活动相关数据。本次涉及调整修改内容为新增营销规则控制数据新增处理逻辑，支持编号、名称、类型、状态、操作人员等内容的录入。</t>
  </si>
  <si>
    <t>营销规则控制数据新增</t>
  </si>
  <si>
    <t>作为业务人员，当需要修改营销规则控制数据时，能够通过此功能修改营销规则控制数据，以便于及时更新营销活动相关数据。本次涉及调整修改内容为调整校验来源、是否校验等业务处理逻辑以满足营销活动配置管理需求。</t>
  </si>
  <si>
    <t>营销规则控制数据修改</t>
  </si>
  <si>
    <t>营销规则应用分类信息在产商品中心中维护和存储，支持业务人员对数据做维护管理，数据主要字段包括：组织名称、更新时间、生效时间、活动描述、归属人、活动摘要等；同时数据提供给营销活动前项限制规则配置业务引用。本次涉及调整修改内容为调整相关字段以适配营销活动业务变更需求。</t>
  </si>
  <si>
    <t>营销规则应用分类信息</t>
  </si>
  <si>
    <t>作为业务人员，当需要查询营销规则应用分类信息时，能够通过此功能查出业务编码、业务类型、分配源、分配目标、区县等信息，以便于快速获取营销活动相关信息。本次涉及调整修改内容为优化营销规则应用分类信息查询功能。</t>
  </si>
  <si>
    <t>营销规则应用分类信息查询</t>
  </si>
  <si>
    <t>作为业务人员，当需要删除营销规则应用分类信息时，能够通过此功能删除营销规则应用分类信息，以便于清理失效的营销活动配置数据。本次涉及调整修改内容为新增营销规则应用分类信息删除处理逻辑，支持通过营销规则应用分类信息编号删除指定记录。</t>
  </si>
  <si>
    <t>营销规则应用分类信息删除</t>
  </si>
  <si>
    <t>作为业务人员，当需要新增营销规则应用分类信息时，能够通过此功能新增营销规则应用分类信息，以便于及时配置营销活动相关数据。本次涉及调整修改内容为新增营销规则应用分类信息新增处理逻辑，支持编号、名称、类型、状态、操作人员等内容的录入。</t>
  </si>
  <si>
    <t>营销规则应用分类信息新增</t>
  </si>
  <si>
    <t>作为业务人员，当需要修改营销规则应用分类信息时，能够通过此功能修改营销规则应用分类信息，以便于及时更新营销活动相关数据。本次涉及调整修改内容为调整业务类型、分配源、分配目标、区县等业务处理逻辑以满足营销活动配置管理需求。</t>
  </si>
  <si>
    <t>营销规则应用分类信息修改</t>
  </si>
  <si>
    <t>营销规则组信息在产商品中心中维护和存储，支持业务人员对数据做维护管理，数据主要字段包括：活动编码、活动摘要、活动小类编码、活动描述信息、标签、生效时间等；同时数据提供给营销活动前项限制规则配置业务引用。本次涉及调整修改内容为调整相关字段以适配营销活动业务变更需求。</t>
  </si>
  <si>
    <t>营销规则组信息</t>
  </si>
  <si>
    <t>作为业务人员，当需要查询营销规则组信息时，能够通过此功能查出订单号、处理订单号、渠道类型、服务号码、用户标识等信息，以便于快速获取营销活动相关信息。本次涉及调整修改内容为优化营销规则组信息查询功能。</t>
  </si>
  <si>
    <t>营销规则组信息查询</t>
  </si>
  <si>
    <t>作为业务人员，当需要删除营销规则组信息时，能够通过此功能删除营销规则组信息，以便于清理失效的营销活动配置数据。本次涉及调整修改内容为新增营销规则组信息删除处理逻辑，支持通过营销规则组信息编号删除指定记录。</t>
  </si>
  <si>
    <t>营销规则组信息删除</t>
  </si>
  <si>
    <t>作为业务人员，当需要新增营销规则组信息时，能够通过此功能新增营销规则组信息，以便于及时配置营销活动相关数据。本次涉及调整修改内容为新增营销规则组信息新增处理逻辑，支持编号、名称、类型、状态、操作人员等内容的录入。</t>
  </si>
  <si>
    <t>营销规则组信息新增</t>
  </si>
  <si>
    <t>作为业务人员，当需要修改营销规则组信息时，能够通过此功能修改营销规则组信息，以便于及时更新营销活动相关数据。本次涉及调整修改内容为调整订单号、处理订单号、渠道类型、服务号码等业务处理逻辑以满足营销活动配置管理需求。</t>
  </si>
  <si>
    <t>营销规则组信息修改</t>
  </si>
  <si>
    <t>营销规则组应用关系信息在产商品中心中维护和存储，支持业务人员对数据做维护管理，数据主要字段包括：规则组应用标识、规则组标识、规则应用类型、应用值、应用名称、限制类型、发布应用状态、生效时间、失效时间、发布原因等；同时数据提供给营销活动前项限制规则配置业务引用。本次涉及调整修改内容为调整相关字段以适配营销活动业务变更需求。</t>
  </si>
  <si>
    <t>营销规则组应用关系信息</t>
  </si>
  <si>
    <t>作为业务人员，当需要查询营销规则组应用关系信息时，能够通过此功能查出规则组应用标识、规则组标识、规则应用类型、应用值、应用名称等信息，以便于快速获取营销活动相关信息。本次涉及调整修改内容为优化营销规则组应用关系信息查询功能。</t>
  </si>
  <si>
    <t>营销规则组应用关系信息查询</t>
  </si>
  <si>
    <t>作为业务人员，当需要删除营销规则组应用关系信息时，能够通过此功能删除营销规则组应用关系信息，以便于清理失效的营销活动配置数据。本次涉及调整修改内容为新增营销规则组应用关系信息删除处理逻辑，支持通过营销规则组应用关系信息编号删除指定记录。</t>
  </si>
  <si>
    <t>营销规则组应用关系信息删除</t>
  </si>
  <si>
    <t>作为业务人员，当需要新增营销规则组应用关系信息时，能够通过此功能新增营销规则组应用关系信息，以便于及时配置营销活动相关数据。本次涉及调整修改内容为新增营销规则组应用关系信息新增处理逻辑，支持编号、名称、类型、状态、操作人员等内容的录入。</t>
  </si>
  <si>
    <t>营销规则组应用关系信息新增</t>
  </si>
  <si>
    <t>作为业务人员，当需要修改营销规则组应用关系信息时，能够通过此功能修改营销规则组应用关系信息，以便于及时更新营销活动相关数据。本次涉及调整修改内容为调整规则组应用标识、规则组标识、规则应用类型、应用值等业务处理逻辑以满足营销活动配置管理需求。</t>
  </si>
  <si>
    <t>营销规则组应用关系信息修改</t>
  </si>
  <si>
    <t>营销后项限制</t>
  </si>
  <si>
    <t>营销活动后项限制</t>
  </si>
  <si>
    <t>营销后项限制信息在产商品中心中维护和存储，支持业务人员对数据做维护管理，数据主要字段包括：创建人、更新时间、失效时间、版本号、类型、归属人等；同时数据提供给营销活动后项限制业务引用。本次涉及调整修改内容为调整相关字段以适配营销活动业务变更需求。</t>
  </si>
  <si>
    <t>营销后项限制信息</t>
  </si>
  <si>
    <t>作为业务人员，当需要查询营销后项限制信息时，能够通过此功能查出营销活动编码、营销活动名称、营销活动类型、业务类型、营销活动小类编码等信息，以便于快速获取营销活动相关信息。本次涉及调整修改内容为优化营销后项限制信息查询功能。</t>
  </si>
  <si>
    <t>营销后项限制信息查询</t>
  </si>
  <si>
    <t>作为业务人员，当需要删除营销后项限制信息时，能够通过此功能删除营销后项限制信息，以便于清理失效的营销活动配置数据。本次涉及调整修改内容为新增营销后项限制信息删除处理逻辑，支持通过营销后项限制信息编号删除指定记录。</t>
  </si>
  <si>
    <t>营销后项限制信息删除</t>
  </si>
  <si>
    <t>作为业务人员，当需要新增营销后项限制信息时，能够通过此功能新增营销后项限制信息，以便于及时配置营销活动相关数据。本次涉及调整修改内容为新增营销后项限制信息新增处理逻辑，支持编号、名称、类型、状态、操作人员等内容的录入。</t>
  </si>
  <si>
    <t>营销后项限制信息新增</t>
  </si>
  <si>
    <t>作为业务人员，当需要修改营销后项限制信息时，能够通过此功能修改营销后项限制信息，以便于及时更新营销活动相关数据。本次涉及调整修改内容为调整营销活动名称、营销活动类型、业务类型、营销活动描述信息等业务处理逻辑以满足营销活动配置管理需求。</t>
  </si>
  <si>
    <t>营销后项限制信息修改</t>
  </si>
  <si>
    <t>营销参数配置</t>
  </si>
  <si>
    <t>营销活动参数配置</t>
  </si>
  <si>
    <t>营销活动办理量限制配置数据在产商品中心中维护和存储，支持业务人员对数据做维护管理，数据主要字段包括：名称、更新时间、功能代码、版本号、排序号、配置类型等；同时数据提供给营销活动参数配置业务引用。本次涉及调整修改内容为调整相关字段以适配营销活动业务变更需求。</t>
  </si>
  <si>
    <t>营销活动办理量限制配置数据</t>
  </si>
  <si>
    <t>作为业务人员，当需要查询营销活动办理量限制配置数据时，能够通过此功能查出业务编码、业务类型、分配源、分配目标、区县等信息，以便于快速获取营销活动相关信息。本次涉及调整修改内容为优化营销活动办理量限制配置数据查询功能。</t>
  </si>
  <si>
    <t>营销活动办理量限制配置数据查询</t>
  </si>
  <si>
    <t>作为业务人员，当需要删除营销活动办理量限制配置数据时，能够通过此功能删除营销活动办理量限制配置数据，以便于清理失效的营销活动配置数据。本次涉及调整修改内容为新增营销活动办理量限制配置数据删除处理逻辑，支持通过营销活动办理量限制配置数据编号删除指定记录。</t>
  </si>
  <si>
    <t>营销活动办理量限制配置数据删除</t>
  </si>
  <si>
    <t>作为业务人员，当需要新增营销活动办理量限制配置数据时，能够通过此功能新增营销活动办理量限制配置数据，以便于及时配置营销活动相关数据。本次涉及调整修改内容为新增营销活动办理量限制配置数据新增处理逻辑，支持编号、名称、类型、状态、操作人员等内容的录入。</t>
  </si>
  <si>
    <t>营销活动办理量限制配置数据新增</t>
  </si>
  <si>
    <t>作为业务人员，当需要修改营销活动办理量限制配置数据时，能够通过此功能修改营销活动办理量限制配置数据，以便于及时更新营销活动相关数据。本次涉及调整修改内容为调整业务类型、分配源、分配目标、区县等业务处理逻辑以满足营销活动配置管理需求。</t>
  </si>
  <si>
    <t>营销活动办理量限制配置数据修改</t>
  </si>
  <si>
    <t>营销活动成功短信配置数据在产商品中心中维护和存储，支持业务人员对数据做维护管理，数据主要字段包括：配置来源、删除标识、失效时间、主键ID、更新人、配置名称等；同时数据提供给营销活动参数配置业务引用。本次涉及调整修改内容为调整相关字段以适配营销活动业务变更需求。</t>
  </si>
  <si>
    <t>营销活动成功短信配置数据</t>
  </si>
  <si>
    <t>作为业务人员，当需要查询营销活动成功短信配置数据时，能够通过此功能查出业务编码、业务类型、分配源、分配目标、区县等信息，以便于快速获取营销活动相关信息。本次涉及调整修改内容为优化营销活动成功短信配置数据查询功能。</t>
  </si>
  <si>
    <t>营销活动成功短信配置数据查询</t>
  </si>
  <si>
    <t>作为业务人员，当需要删除营销活动成功短信配置数据时，能够通过此功能删除营销活动成功短信配置数据，以便于清理失效的营销活动配置数据。本次涉及调整修改内容为新增营销活动成功短信配置数据删除处理逻辑，支持通过营销活动成功短信配置数据编号删除指定记录。</t>
  </si>
  <si>
    <t>营销活动成功短信配置数据删除</t>
  </si>
  <si>
    <t>作为业务人员，当需要新增营销活动成功短信配置数据时，能够通过此功能新增营销活动成功短信配置数据，以便于及时配置营销活动相关数据。本次涉及调整修改内容为新增营销活动成功短信配置数据新增处理逻辑，支持编号、名称、类型、状态、操作人员等内容的录入。</t>
  </si>
  <si>
    <t>营销活动成功短信配置数据新增</t>
  </si>
  <si>
    <t>作为业务人员，当需要修改营销活动成功短信配置数据时，能够通过此功能修改营销活动成功短信配置数据，以便于及时更新营销活动相关数据。本次涉及调整修改内容为调整业务类型、分配源、分配目标、区县等业务处理逻辑以满足营销活动配置管理需求。</t>
  </si>
  <si>
    <t>营销活动成功短信配置数据修改</t>
  </si>
  <si>
    <t>营销活动到期短信配置数据在产商品中心中维护和存储，支持业务人员对数据做维护管理，数据主要字段包括：名称、更新人、失效时间、生效时间、编码、配置来源等；同时数据提供给营销活动参数配置业务引用。本次涉及调整修改内容为调整相关字段以适配营销活动业务变更需求。</t>
  </si>
  <si>
    <t>营销活动到期短信配置数据</t>
  </si>
  <si>
    <t>作为业务人员，当需要查询营销活动到期短信配置数据时，能够通过此功能查出业务编码、业务类型、分配源、分配目标、区县等信息，以便于快速获取营销活动相关信息。本次涉及调整修改内容为优化营销活动到期短信配置数据查询功能。</t>
  </si>
  <si>
    <t>营销活动到期短信配置数据查询</t>
  </si>
  <si>
    <t>作为业务人员，当需要删除营销活动到期短信配置数据时，能够通过此功能删除营销活动到期短信配置数据，以便于清理失效的营销活动配置数据。本次涉及调整修改内容为新增营销活动到期短信配置数据删除处理逻辑，支持通过营销活动到期短信配置数据编号删除指定记录。</t>
  </si>
  <si>
    <t>营销活动到期短信配置数据删除</t>
  </si>
  <si>
    <t>作为业务人员，当需要新增营销活动到期短信配置数据时，能够通过此功能新增营销活动到期短信配置数据，以便于及时配置营销活动相关数据。本次涉及调整修改内容为新增营销活动到期短信配置数据新增处理逻辑，支持编号、名称、类型、状态、操作人员等内容的录入。</t>
  </si>
  <si>
    <t>营销活动到期短信配置数据新增</t>
  </si>
  <si>
    <t>作为业务人员，当需要修改营销活动到期短信配置数据时，能够通过此功能修改营销活动到期短信配置数据，以便于及时更新营销活动相关数据。本次涉及调整修改内容为调整业务类型、分配源、分配目标、区县等业务处理逻辑以满足营销活动配置管理需求。</t>
  </si>
  <si>
    <t>营销活动到期短信配置数据修改</t>
  </si>
  <si>
    <t>营销活动二确短信配置数据在产商品中心中维护和存储，支持业务人员对数据做维护管理，数据主要字段包括：创建时间、类型、配置来源、更新人、配置类型、功能代码等；同时数据提供给营销活动参数配置业务引用。本次涉及调整修改内容为调整相关字段以适配营销活动业务变更需求。</t>
  </si>
  <si>
    <t>营销活动二确短信配置数据</t>
  </si>
  <si>
    <t>作为业务人员，当需要查询营销活动二确短信配置数据时，能够通过此功能查出业务编码、业务类型、分配源、分配目标、区县等信息，以便于快速获取营销活动相关信息。本次涉及调整修改内容为优化营销活动二确短信配置数据查询功能。</t>
  </si>
  <si>
    <t>营销活动二确短信配置数据查询</t>
  </si>
  <si>
    <t>作为业务人员，当需要删除营销活动二确短信配置数据时，能够通过此功能删除营销活动二确短信配置数据，以便于清理失效的营销活动配置数据。本次涉及调整修改内容为新增营销活动二确短信配置数据删除处理逻辑，支持通过营销活动二确短信配置数据编号删除指定记录。</t>
  </si>
  <si>
    <t>营销活动二确短信配置数据删除</t>
  </si>
  <si>
    <t>作为业务人员，当需要新增营销活动二确短信配置数据时，能够通过此功能新增营销活动二确短信配置数据，以便于及时配置营销活动相关数据。本次涉及调整修改内容为新增营销活动二确短信配置数据新增处理逻辑，支持编号、名称、类型、状态、操作人员等内容的录入。</t>
  </si>
  <si>
    <t>营销活动二确短信配置数据新增</t>
  </si>
  <si>
    <t>作为业务人员，当需要修改营销活动二确短信配置数据时，能够通过此功能修改营销活动二确短信配置数据，以便于及时更新营销活动相关数据。本次涉及调整修改内容为调整业务类型、分配源、分配目标、区县等业务处理逻辑以满足营销活动配置管理需求。</t>
  </si>
  <si>
    <t>营销活动二确短信配置数据修改</t>
  </si>
  <si>
    <t>营销活动权限调整</t>
  </si>
  <si>
    <t>营销活动权限管理</t>
  </si>
  <si>
    <t>营销活动互斥规则受理单调整信息在产商品中心中维护和存储，支持业务人员对数据做维护管理，数据主要字段包括：活动摘要、业务类型、操作员工号、是否有效、生效时间、状态等；同时数据提供给营销活动权限管理业务引用。本次涉及调整修改内容为调整相关字段以适配营销活动业务变更需求。</t>
  </si>
  <si>
    <t>营销活动互斥规则受理单调整信息</t>
  </si>
  <si>
    <t>作为业务人员，当需要查询营销活动互斥规则受理单调整信息时，能够通过此功能查出任务执行编号、号码类型、服务号码、用户标识、地市编码等信息，以便于快速获取营销活动相关信息。本次涉及调整修改内容为优化营销活动互斥规则受理单调整信息查询功能。</t>
  </si>
  <si>
    <t>营销活动互斥规则受理单调整信息查询</t>
  </si>
  <si>
    <t>作为业务人员，当需要删除营销活动互斥规则受理单调整信息时，能够通过此功能删除营销活动互斥规则受理单调整信息，以便于清理失效的营销活动配置数据。本次涉及调整修改内容为新增营销活动互斥规则受理单调整信息删除处理逻辑，支持通过营销活动互斥规则受理单调整信息编号删除指定记录。</t>
  </si>
  <si>
    <t>营销活动互斥规则受理单调整信息删除</t>
  </si>
  <si>
    <t>作为业务人员，当需要新增营销活动互斥规则受理单调整信息时，能够通过此功能新增营销活动互斥规则受理单调整信息，以便于及时配置营销活动相关数据。本次涉及调整修改内容为新增营销活动互斥规则受理单调整信息新增处理逻辑，支持编号、名称、类型、状态、操作人员等内容的录入。</t>
  </si>
  <si>
    <t>营销活动互斥规则受理单调整信息新增</t>
  </si>
  <si>
    <t>作为业务人员，当需要修改营销活动互斥规则受理单调整信息时，能够通过此功能修改营销活动互斥规则受理单调整信息，以便于及时更新营销活动相关数据。本次涉及调整修改内容为调整号码类型、服务号码、用户标识、终端型号等业务处理逻辑以满足营销活动配置管理需求。</t>
  </si>
  <si>
    <t>营销活动互斥规则受理单调整信息修改</t>
  </si>
  <si>
    <t>营销活动结束时间配置数据在产商品中心中维护和存储，支持业务人员对数据做维护管理，数据主要字段包括：创建人、配置来源、名称、操作员工号、功能代码、描述等；同时数据提供给营销活动参数配置业务引用。本次涉及调整修改内容为调整相关字段以适配营销活动业务变更需求。</t>
  </si>
  <si>
    <t>营销活动结束时间配置数据</t>
  </si>
  <si>
    <t>作为业务人员，当需要查询营销活动结束时间配置数据时，能够通过此功能查出业务编码、业务类型、分配源、分配目标、区县等信息，以便于快速获取营销活动相关信息。本次涉及调整修改内容为优化营销活动结束时间配置数据查询功能。</t>
  </si>
  <si>
    <t>营销活动结束时间配置数据查询</t>
  </si>
  <si>
    <t>作为业务人员，当需要删除营销活动结束时间配置数据时，能够通过此功能删除营销活动结束时间配置数据，以便于清理失效的营销活动配置数据。本次涉及调整修改内容为新增营销活动结束时间配置数据删除处理逻辑，支持通过营销活动结束时间配置数据编号删除指定记录。</t>
  </si>
  <si>
    <t>营销活动结束时间配置数据删除</t>
  </si>
  <si>
    <t>作为业务人员，当需要新增营销活动结束时间配置数据时，能够通过此功能新增营销活动结束时间配置数据，以便于及时配置营销活动相关数据。本次涉及调整修改内容为新增营销活动结束时间配置数据新增处理逻辑，支持编号、名称、类型、状态、操作人员等内容的录入。</t>
  </si>
  <si>
    <t>营销活动结束时间配置数据新增</t>
  </si>
  <si>
    <t>作为业务人员，当需要修改营销活动结束时间配置数据时，能够通过此功能修改营销活动结束时间配置数据，以便于及时更新营销活动相关数据。本次涉及调整修改内容为调整业务类型、分配源、分配目标、区县等业务处理逻辑以满足营销活动配置管理需求。</t>
  </si>
  <si>
    <t>营销活动结束时间配置数据修改</t>
  </si>
  <si>
    <t>营销活动内容受理单调整信息在产商品中心中维护和存储，支持业务人员对数据做维护管理，数据主要字段包括：活动小类编码、是否启用、更新时间、排序号、类型、归属人等；同时数据提供给营销活动权限管理业务引用。本次涉及调整修改内容为调整相关字段以适配营销活动业务变更需求。</t>
  </si>
  <si>
    <t>营销活动内容受理单调整信息</t>
  </si>
  <si>
    <t>作为业务人员，当需要查询营销活动内容受理单调整信息时，能够通过此功能查出地市编码、渠道类型、用户标识、服务号码、活动编号等信息，以便于快速获取营销活动相关信息。本次涉及调整修改内容为优化营销活动内容受理单调整信息查询功能。</t>
  </si>
  <si>
    <t>营销活动内容受理单调整信息查询</t>
  </si>
  <si>
    <t>作为业务人员，当需要删除营销活动内容受理单调整信息时，能够通过此功能删除营销活动内容受理单调整信息，以便于清理失效的营销活动配置数据。本次涉及调整修改内容为新增营销活动内容受理单调整信息删除处理逻辑，支持通过营销活动内容受理单调整信息编号删除指定记录。</t>
  </si>
  <si>
    <t>营销活动内容受理单调整信息删除</t>
  </si>
  <si>
    <t>作为业务人员，当需要新增营销活动内容受理单调整信息时，能够通过此功能新增营销活动内容受理单调整信息，以便于及时配置营销活动相关数据。本次涉及调整修改内容为新增营销活动内容受理单调整信息新增处理逻辑，支持编号、名称、类型、状态、操作人员等内容的录入。</t>
  </si>
  <si>
    <t>营销活动内容受理单调整信息新增</t>
  </si>
  <si>
    <t>作为业务人员，当需要修改营销活动内容受理单调整信息时，能够通过此功能修改营销活动内容受理单调整信息，以便于及时更新营销活动相关数据。本次涉及调整修改内容为调整渠道类型、用户标识、服务号码、工单号等业务处理逻辑以满足营销活动配置管理需求。</t>
  </si>
  <si>
    <t>营销活动内容受理单调整信息修改</t>
  </si>
  <si>
    <t>营销活动批量办理</t>
  </si>
  <si>
    <t>营销活动批量办理后台进程</t>
  </si>
  <si>
    <t>营销活动批量办理结果信息在产商品中心中维护和存储，支持业务人员对数据做维护管理，数据主要字段包括：标签、活动状态、版本号、活动优先级、组织名称、活动编码等；同时数据提供给营销活动批量办理后台进程业务引用。本次涉及调整修改内容为调整相关字段以适配营销活动业务变更需求。</t>
  </si>
  <si>
    <t>营销活动批量办理结果信息</t>
  </si>
  <si>
    <t>作为业务人员，当需要查询营销活动批量办理结果信息时，能够通过此功能查出审批流水、业务编号、业务类型、业务操作人工号、业务操作时间等信息，以便于快速获取营销活动相关信息。本次涉及调整修改内容为优化营销活动批量办理结果信息查询功能。</t>
  </si>
  <si>
    <t>营销活动批量办理结果信息查询</t>
  </si>
  <si>
    <t>作为业务人员，当需要删除营销活动批量办理结果信息时，能够通过此功能删除营销活动批量办理结果信息，以便于清理失效的营销活动配置数据。本次涉及调整修改内容为新增营销活动批量办理结果信息删除处理逻辑，支持通过营销活动批量办理结果信息编号删除指定记录。</t>
  </si>
  <si>
    <t>营销活动批量办理结果信息删除</t>
  </si>
  <si>
    <t>作为业务人员，当需要新增营销活动批量办理结果信息时，能够通过此功能新增营销活动批量办理结果信息，以便于及时配置营销活动相关数据。本次涉及调整修改内容为新增营销活动批量办理结果信息新增处理逻辑，支持编号、名称、类型、状态、操作人员等内容的录入。</t>
  </si>
  <si>
    <t>营销活动批量办理结果信息新增</t>
  </si>
  <si>
    <t>作为业务人员，当需要修改营销活动批量办理结果信息时，能够通过此功能修改营销活动批量办理结果信息，以便于及时更新营销活动相关数据。本次涉及调整修改内容为调整业务类型、业务操作人工号、业务操作时间、审批描述信息等业务处理逻辑以满足营销活动配置管理需求。</t>
  </si>
  <si>
    <t>营销活动批量办理结果信息修改</t>
  </si>
  <si>
    <t>营销活动批量办理任务信息在产商品中心中维护和存储，支持业务人员对数据做维护管理，数据主要字段包括：备注、名称、失效时间、是否有效、是否启用、活动描述信息等；同时数据提供给营销活动批量办理后台进程业务引用。本次涉及调整修改内容为调整相关字段以适配营销活动业务变更需求。</t>
  </si>
  <si>
    <t>营销活动批量办理任务信息</t>
  </si>
  <si>
    <t>作为业务人员，当需要查询营销活动批量办理任务信息时，能够通过此功能查出任务执行编号、号码类型、服务号码、用户标识、地市编码等信息，以便于快速获取营销活动相关信息。本次涉及调整修改内容为优化营销活动批量办理任务信息查询功能。</t>
  </si>
  <si>
    <t>营销活动批量办理任务信息查询</t>
  </si>
  <si>
    <t>作为业务人员，当需要删除营销活动批量办理任务信息时，能够通过此功能删除营销活动批量办理任务信息，以便于清理失效的营销活动配置数据。本次涉及调整修改内容为新增营销活动批量办理任务信息删除处理逻辑，支持通过营销活动批量办理任务信息编号删除指定记录。</t>
  </si>
  <si>
    <t>营销活动批量办理任务信息删除</t>
  </si>
  <si>
    <t>作为业务人员，当需要新增营销活动批量办理任务信息时，能够通过此功能新增营销活动批量办理任务信息，以便于及时配置营销活动相关数据。本次涉及调整修改内容为新增营销活动批量办理任务信息新增处理逻辑，支持编号、名称、类型、状态、操作人员等内容的录入。</t>
  </si>
  <si>
    <t>营销活动批量办理任务信息新增</t>
  </si>
  <si>
    <t>作为业务人员，当需要修改营销活动批量办理任务信息时，能够通过此功能修改营销活动批量办理任务信息，以便于及时更新营销活动相关数据。本次涉及调整修改内容为调整号码类型、服务号码、用户标识、终端型号等业务处理逻辑以满足营销活动配置管理需求。</t>
  </si>
  <si>
    <t>营销活动批量办理任务信息修改</t>
  </si>
  <si>
    <t>营销活动批量办理异常信息在产商品中心中维护和存储，支持业务人员对数据做维护管理，数据主要字段包括：状态、主键ID、编码、活动状态、排序号、组织名称等；同时数据提供给营销活动批量办理后台进程业务引用。本次涉及调整修改内容为调整相关字段以适配营销活动业务变更需求。</t>
  </si>
  <si>
    <t>营销活动批量办理异常信息</t>
  </si>
  <si>
    <t>作为业务人员，当需要查询营销活动批量办理异常信息时，能够通过此功能查出审批流水、业务编号、业务类型、业务操作人工号、业务操作时间等信息，以便于快速获取营销活动相关信息。本次涉及调整修改内容为优化营销活动批量办理异常信息查询功能。</t>
  </si>
  <si>
    <t>营销活动批量办理异常信息查询</t>
  </si>
  <si>
    <t>作为业务人员，当需要删除营销活动批量办理异常信息时，能够通过此功能删除营销活动批量办理异常信息，以便于清理失效的营销活动配置数据。本次涉及调整修改内容为新增营销活动批量办理异常信息删除处理逻辑，支持通过营销活动批量办理异常信息编号删除指定记录。</t>
  </si>
  <si>
    <t>营销活动批量办理异常信息删除</t>
  </si>
  <si>
    <t>作为业务人员，当需要新增营销活动批量办理异常信息时，能够通过此功能新增营销活动批量办理异常信息，以便于及时配置营销活动相关数据。本次涉及调整修改内容为新增营销活动批量办理异常信息新增处理逻辑，支持编号、名称、类型、状态、操作人员等内容的录入。</t>
  </si>
  <si>
    <t>营销活动批量办理异常信息新增</t>
  </si>
  <si>
    <t>作为业务人员，当需要修改营销活动批量办理异常信息时，能够通过此功能修改营销活动批量办理异常信息，以便于及时更新营销活动相关数据。本次涉及调整修改内容为调整业务类型、业务操作人工号、业务操作时间、审批描述信息等业务处理逻辑以满足营销活动配置管理需求。</t>
  </si>
  <si>
    <t>营销活动批量办理异常信息修改</t>
  </si>
  <si>
    <t>营销活动权限规则信息在产商品中心中维护和存储，支持业务人员对数据做维护管理，数据主要字段包括：创建人、描述、活动优先级、编码、删除标识、更新时间等；同时数据提供给营销活动权限管理业务引用。本次涉及调整修改内容为调整相关字段以适配营销活动业务变更需求。</t>
  </si>
  <si>
    <t>营销活动权限规则信息</t>
  </si>
  <si>
    <t>作为业务人员，当需要查询营销活动权限规则信息时，能够通过此功能查出活动、地市编码、活动属性标识、活动属性、活动属性名称等信息，以便于快速获取营销活动相关信息。本次涉及调整修改内容为优化营销活动权限规则信息查询功能。</t>
  </si>
  <si>
    <t>营销活动权限规则信息查询</t>
  </si>
  <si>
    <t>作为业务人员，当需要删除营销活动权限规则信息时，能够通过此功能删除营销活动权限规则信息，以便于清理失效的营销活动配置数据。本次涉及调整修改内容为新增营销活动权限规则信息删除处理逻辑，支持通过营销活动权限规则信息编号删除指定记录。</t>
  </si>
  <si>
    <t>营销活动权限规则信息删除</t>
  </si>
  <si>
    <t>作为业务人员，当需要新增营销活动权限规则信息时，能够通过此功能新增营销活动权限规则信息，以便于及时配置营销活动相关数据。本次涉及调整修改内容为新增营销活动权限规则信息新增处理逻辑，支持编号、名称、类型、状态、操作人员等内容的录入。</t>
  </si>
  <si>
    <t>营销活动权限规则信息新增</t>
  </si>
  <si>
    <t>作为业务人员，当需要修改营销活动权限规则信息时，能够通过此功能修改营销活动权限规则信息，以便于及时更新营销活动相关数据。本次涉及调整修改内容为调整活动、活动属性标识、活动属性、活动属性名称等业务处理逻辑以满足营销活动配置管理需求。</t>
  </si>
  <si>
    <t>营销活动权限规则信息修改</t>
  </si>
  <si>
    <t>营销活动违约赔付受理单调整信息在产商品中心中维护和存储，支持业务人员对数据做维护管理，数据主要字段包括：创建时间、名称、是否启用、主办单位、活动状态编码、编码等；同时数据提供给营销活动权限管理业务引用。本次涉及调整修改内容为调整相关字段以适配营销活动业务变更需求。</t>
  </si>
  <si>
    <t>营销活动违约赔付受理单调整信息</t>
  </si>
  <si>
    <t>作为业务人员，当需要查询营销活动违约赔付受理单调整信息时，能够通过此功能查出任务执行编号、号码类型、服务号码、用户标识、地市编码等信息，以便于快速获取营销活动相关信息。本次涉及调整修改内容为优化营销活动违约赔付受理单调整信息查询功能。</t>
  </si>
  <si>
    <t>营销活动违约赔付受理单调整信息查询</t>
  </si>
  <si>
    <t>作为业务人员，当需要删除营销活动违约赔付受理单调整信息时，能够通过此功能删除营销活动违约赔付受理单调整信息，以便于清理失效的营销活动配置数据。本次涉及调整修改内容为新增营销活动违约赔付受理单调整信息删除处理逻辑，支持通过营销活动违约赔付受理单调整信息编号删除指定记录。</t>
  </si>
  <si>
    <t>营销活动违约赔付受理单调整信息删除</t>
  </si>
  <si>
    <t>作为业务人员，当需要新增营销活动违约赔付受理单调整信息时，能够通过此功能新增营销活动违约赔付受理单调整信息，以便于及时配置营销活动相关数据。本次涉及调整修改内容为新增营销活动违约赔付受理单调整信息新增处理逻辑，支持编号、名称、类型、状态、操作人员等内容的录入。</t>
  </si>
  <si>
    <t>营销活动违约赔付受理单调整信息新增</t>
  </si>
  <si>
    <t>作为业务人员，当需要修改营销活动违约赔付受理单调整信息时，能够通过此功能修改营销活动违约赔付受理单调整信息，以便于及时更新营销活动相关数据。本次涉及调整修改内容为调整号码类型、服务号码、用户标识、终端型号等业务处理逻辑以满足营销活动配置管理需求。</t>
  </si>
  <si>
    <t>营销活动违约赔付受理单调整信息修改</t>
  </si>
  <si>
    <t>营销活动互斥查询</t>
  </si>
  <si>
    <t>营销活动互斥管理</t>
  </si>
  <si>
    <t>营销活动单向互斥信息在产商品中心中维护和存储，支持业务人员对数据做维护管理，数据主要字段包括：状态、删除标识、标签、组织编码、活动状态、活动类型等；同时数据提供给营销活动互斥管理业务引用。本次涉及调整修改内容为调整相关字段以适配营销活动业务变更需求。</t>
  </si>
  <si>
    <t>营销活动单向互斥信息</t>
  </si>
  <si>
    <t>作为业务人员，当需要查询营销活动单向互斥信息时，能够通过此功能查出活动、地市编码、活动属性标识、活动属性、活动属性名称等信息，以便于快速获取营销活动相关信息。本次涉及调整修改内容为优化营销活动单向互斥信息查询功能。</t>
  </si>
  <si>
    <t>营销活动单向互斥信息查询</t>
  </si>
  <si>
    <t>作为业务人员，当需要删除营销活动单向互斥信息时，能够通过此功能删除营销活动单向互斥信息，以便于清理失效的营销活动配置数据。本次涉及调整修改内容为新增营销活动单向互斥信息删除处理逻辑，支持通过营销活动单向互斥信息编号删除指定记录。</t>
  </si>
  <si>
    <t>营销活动单向互斥信息删除</t>
  </si>
  <si>
    <t>作为业务人员，当需要新增营销活动单向互斥信息时，能够通过此功能新增营销活动单向互斥信息，以便于及时配置营销活动相关数据。本次涉及调整修改内容为新增营销活动单向互斥信息新增处理逻辑，支持编号、名称、类型、状态、操作人员等内容的录入。</t>
  </si>
  <si>
    <t>营销活动单向互斥信息新增</t>
  </si>
  <si>
    <t>作为业务人员，当需要修改营销活动单向互斥信息时，能够通过此功能修改营销活动单向互斥信息，以便于及时更新营销活动相关数据。本次涉及调整修改内容为调整活动、活动属性标识、活动属性、活动属性名称等业务处理逻辑以满足营销活动配置管理需求。</t>
  </si>
  <si>
    <t>营销活动单向互斥信息修改</t>
  </si>
  <si>
    <t>营销活动双向互斥信息在产商品中心中维护和存储，支持业务人员对数据做维护管理，数据主要字段包括：更新人、生效时间、活动状态、编码、排序号、活动摘要等；同时数据提供给营销活动互斥管理业务引用。本次涉及调整修改内容为调整相关字段以适配营销活动业务变更需求。</t>
  </si>
  <si>
    <t>营销活动双向互斥信息</t>
  </si>
  <si>
    <t>作为业务人员，当需要查询营销活动双向互斥信息时，能够通过此功能查出活动、地市编码、活动属性标识、活动属性、活动属性名称等信息，以便于快速获取营销活动相关信息。本次涉及调整修改内容为优化营销活动双向互斥信息查询功能。</t>
  </si>
  <si>
    <t>营销活动双向互斥信息查询</t>
  </si>
  <si>
    <t>作为业务人员，当需要删除营销活动双向互斥信息时，能够通过此功能删除营销活动双向互斥信息，以便于清理失效的营销活动配置数据。本次涉及调整修改内容为新增营销活动双向互斥信息删除处理逻辑，支持通过营销活动双向互斥信息编号删除指定记录。</t>
  </si>
  <si>
    <t>营销活动双向互斥信息删除</t>
  </si>
  <si>
    <t>作为业务人员，当需要新增营销活动双向互斥信息时，能够通过此功能新增营销活动双向互斥信息，以便于及时配置营销活动相关数据。本次涉及调整修改内容为新增营销活动双向互斥信息新增处理逻辑，支持编号、名称、类型、状态、操作人员等内容的录入。</t>
  </si>
  <si>
    <t>营销活动双向互斥信息新增</t>
  </si>
  <si>
    <t>作为业务人员，当需要修改营销活动双向互斥信息时，能够通过此功能修改营销活动双向互斥信息，以便于及时更新营销活动相关数据。本次涉及调整修改内容为调整活动、活动属性标识、活动属性、活动属性名称等业务处理逻辑以满足营销活动配置管理需求。</t>
  </si>
  <si>
    <t>营销活动双向互斥信息修改</t>
  </si>
  <si>
    <t>营销活动与单活动互斥信息在产商品中心中维护和存储，支持业务人员对数据做维护管理，数据主要字段包括：是否启用、描述、编码、失效时间、活动小类编码、组织编码等；同时数据提供给营销活动互斥管理业务引用。本次涉及调整修改内容为调整相关字段以适配营销活动业务变更需求。</t>
  </si>
  <si>
    <t>营销活动与单活动互斥信息</t>
  </si>
  <si>
    <t>作为业务人员，当需要查询营销活动与单活动互斥信息时，能够通过此功能查出地市编码、渠道类型、用户标识、服务号码、活动编号等信息，以便于快速获取营销活动相关信息。本次涉及调整修改内容为优化营销活动与单活动互斥信息查询功能。</t>
  </si>
  <si>
    <t>营销活动与单活动互斥信息查询</t>
  </si>
  <si>
    <t>作为业务人员，当需要删除营销活动与单活动互斥信息时，能够通过此功能删除营销活动与单活动互斥信息，以便于清理失效的营销活动配置数据。本次涉及调整修改内容为新增营销活动与单活动互斥信息删除处理逻辑，支持通过营销活动与单活动互斥信息编号删除指定记录。</t>
  </si>
  <si>
    <t>营销活动与单活动互斥信息删除</t>
  </si>
  <si>
    <t>作为业务人员，当需要新增营销活动与单活动互斥信息时，能够通过此功能新增营销活动与单活动互斥信息，以便于及时配置营销活动相关数据。本次涉及调整修改内容为新增营销活动与单活动互斥信息新增处理逻辑，支持编号、名称、类型、状态、操作人员等内容的录入。</t>
  </si>
  <si>
    <t>营销活动与单活动互斥信息新增</t>
  </si>
  <si>
    <t>作为业务人员，当需要修改营销活动与单活动互斥信息时，能够通过此功能修改营销活动与单活动互斥信息，以便于及时更新营销活动相关数据。本次涉及调整修改内容为调整渠道类型、用户标识、服务号码、工单号等业务处理逻辑以满足营销活动配置管理需求。</t>
  </si>
  <si>
    <t>营销活动与单活动互斥信息修改</t>
  </si>
  <si>
    <t>营销活动与费用互斥规则信息在产商品中心中维护和存储，支持业务人员对数据做维护管理，数据主要字段包括：活动状态、活动名称、归属人、是否有效、活动摘要、失效时间等；同时数据提供给营销活动互斥管理业务引用。本次涉及调整修改内容为调整相关字段以适配营销活动业务变更需求。</t>
  </si>
  <si>
    <t>营销活动与费用互斥规则信息</t>
  </si>
  <si>
    <t>作为业务人员，当需要查询营销活动与费用互斥规则信息时，能够通过此功能查出任务执行编号、号码类型、服务号码、用户标识、地市编码等信息，以便于快速获取营销活动相关信息。本次涉及调整修改内容为优化营销活动与费用互斥规则信息查询功能。</t>
  </si>
  <si>
    <t>营销活动与费用互斥规则信息查询</t>
  </si>
  <si>
    <t>作为业务人员，当需要删除营销活动与费用互斥规则信息时，能够通过此功能删除营销活动与费用互斥规则信息，以便于清理失效的营销活动配置数据。本次涉及调整修改内容为新增营销活动与费用互斥规则信息删除处理逻辑，支持通过营销活动与费用互斥规则信息编号删除指定记录。</t>
  </si>
  <si>
    <t>营销活动与费用互斥规则信息删除</t>
  </si>
  <si>
    <t>作为业务人员，当需要新增营销活动与费用互斥规则信息时，能够通过此功能新增营销活动与费用互斥规则信息，以便于及时配置营销活动相关数据。本次涉及调整修改内容为新增营销活动与费用互斥规则信息新增处理逻辑，支持编号、名称、类型、状态、操作人员等内容的录入。</t>
  </si>
  <si>
    <t>营销活动与费用互斥规则信息新增</t>
  </si>
  <si>
    <t>作为业务人员，当需要修改营销活动与费用互斥规则信息时，能够通过此功能修改营销活动与费用互斥规则信息，以便于及时更新营销活动相关数据。本次涉及调整修改内容为调整号码类型、服务号码、用户标识、保留预存金额等业务处理逻辑以满足营销活动配置管理需求。</t>
  </si>
  <si>
    <t>营销活动与费用互斥规则信息修改</t>
  </si>
  <si>
    <t>营销活动与集合互斥规则信息在产商品中心中维护和存储，支持业务人员对数据做维护管理，数据主要字段包括：类型、组织编码、活动优先级、创建人、操作员工号、活动描述信息等；同时数据提供给营销活动互斥管理业务引用。本次涉及调整修改内容为调整相关字段以适配营销活动业务变更需求。</t>
  </si>
  <si>
    <t>营销活动与集合互斥规则信息</t>
  </si>
  <si>
    <t>作为业务人员，当需要查询营销活动与集合互斥规则信息时，能够通过此功能查出地市编码、渠道类型、用户标识、服务号码、活动编号等信息，以便于快速获取营销活动相关信息。本次涉及调整修改内容为优化营销活动与集合互斥规则信息查询功能。</t>
  </si>
  <si>
    <t>营销活动与集合互斥规则信息查询</t>
  </si>
  <si>
    <t>作为业务人员，当需要删除营销活动与集合互斥规则信息时，能够通过此功能删除营销活动与集合互斥规则信息，以便于清理失效的营销活动配置数据。本次涉及调整修改内容为新增营销活动与集合互斥规则信息删除处理逻辑，支持通过营销活动与集合互斥规则信息编号删除指定记录。</t>
  </si>
  <si>
    <t>营销活动与集合互斥规则信息删除</t>
  </si>
  <si>
    <t>作为业务人员，当需要新增营销活动与集合互斥规则信息时，能够通过此功能新增营销活动与集合互斥规则信息，以便于及时配置营销活动相关数据。本次涉及调整修改内容为新增营销活动与集合互斥规则信息新增处理逻辑，支持编号、名称、类型、状态、操作人员等内容的录入。</t>
  </si>
  <si>
    <t>营销活动与集合互斥规则信息新增</t>
  </si>
  <si>
    <t>作为业务人员，当需要修改营销活动与集合互斥规则信息时，能够通过此功能修改营销活动与集合互斥规则信息，以便于及时更新营销活动相关数据。本次涉及调整修改内容为调整渠道类型、用户标识、服务号码、工单号等业务处理逻辑以满足营销活动配置管理需求。</t>
  </si>
  <si>
    <t>营销活动与集合互斥规则信息修改</t>
  </si>
  <si>
    <t>营销活动终端机型补贴信息在产商品中心中维护和存储，支持业务人员对数据做维护管理，数据主要字段包括：归属人、更新人、活动编码、活动状态、生效时间、类型等；同时数据提供给终端营销活动管理业务引用。本次涉及调整修改内容为调整相关字段以适配营销活动业务变更需求。</t>
  </si>
  <si>
    <t>营销活动终端机型补贴信息</t>
  </si>
  <si>
    <t>作为业务人员，当需要查询营销活动终端机型补贴信息时，能够通过此功能查出地市编码、渠道类型、用户标识、服务号码、活动编号等信息，以便于快速获取营销活动相关信息。本次涉及调整修改内容为优化营销活动终端机型补贴信息查询功能。</t>
  </si>
  <si>
    <t>营销活动终端机型补贴信息查询</t>
  </si>
  <si>
    <t>作为业务人员，当需要删除营销活动终端机型补贴信息时，能够通过此功能删除营销活动终端机型补贴信息，以便于清理失效的营销活动配置数据。本次涉及调整修改内容为新增营销活动终端机型补贴信息删除处理逻辑，支持通过营销活动终端机型补贴信息编号删除指定记录。</t>
  </si>
  <si>
    <t>营销活动终端机型补贴信息删除</t>
  </si>
  <si>
    <t>作为业务人员，当需要新增营销活动终端机型补贴信息时，能够通过此功能新增营销活动终端机型补贴信息，以便于及时配置营销活动相关数据。本次涉及调整修改内容为新增营销活动终端机型补贴信息新增处理逻辑，支持编号、名称、类型、状态、操作人员等内容的录入。</t>
  </si>
  <si>
    <t>营销活动终端机型补贴信息新增</t>
  </si>
  <si>
    <t>作为业务人员，当需要修改营销活动终端机型补贴信息时，能够通过此功能修改营销活动终端机型补贴信息，以便于及时更新营销活动相关数据。本次涉及调整修改内容为调整渠道类型、用户标识、服务号码、工单号等业务处理逻辑以满足营销活动配置管理需求。</t>
  </si>
  <si>
    <t>营销活动终端机型补贴信息修改</t>
  </si>
  <si>
    <t>营销活动终端机型库存信息在产商品中心中维护和存储，支持业务人员对数据做维护管理，数据主要字段包括：是否启用、活动优先级、创建时间、活动描述信息、生效时间、描述等；同时数据提供给终端营销活动管理业务引用。本次涉及调整修改内容为调整相关字段以适配营销活动业务变更需求。</t>
  </si>
  <si>
    <t>营销活动终端机型库存信息</t>
  </si>
  <si>
    <t>作为业务人员，当需要查询营销活动终端机型库存信息时，能够通过此功能查出地市编码、渠道类型、用户标识、服务号码、活动编号等信息，以便于快速获取营销活动相关信息。本次涉及调整修改内容为优化营销活动终端机型库存信息查询功能。</t>
  </si>
  <si>
    <t>营销活动终端机型库存信息查询</t>
  </si>
  <si>
    <t>作为业务人员，当需要删除营销活动终端机型库存信息时，能够通过此功能删除营销活动终端机型库存信息，以便于清理失效的营销活动配置数据。本次涉及调整修改内容为新增营销活动终端机型库存信息删除处理逻辑，支持通过营销活动终端机型库存信息编号删除指定记录。</t>
  </si>
  <si>
    <t>营销活动终端机型库存信息删除</t>
  </si>
  <si>
    <t>作为业务人员，当需要新增营销活动终端机型库存信息时，能够通过此功能新增营销活动终端机型库存信息，以便于及时配置营销活动相关数据。本次涉及调整修改内容为新增营销活动终端机型库存信息新增处理逻辑，支持编号、名称、类型、状态、操作人员等内容的录入。</t>
  </si>
  <si>
    <t>营销活动终端机型库存信息新增</t>
  </si>
  <si>
    <t>作为业务人员，当需要修改营销活动终端机型库存信息时，能够通过此功能修改营销活动终端机型库存信息，以便于及时更新营销活动相关数据。本次涉及调整修改内容为调整渠道类型、用户标识、服务号码、工单号等业务处理逻辑以满足营销活动配置管理需求。</t>
  </si>
  <si>
    <t>营销活动终端机型库存信息修改</t>
  </si>
  <si>
    <t>营销活动终端机型配置数据在产商品中心中维护和存储，支持业务人员对数据做维护管理，数据主要字段包括：创建人、编码、配置来源、配置默认值、主键ID、配置描述等；同时数据提供给终端营销活动管理业务引用。本次涉及调整修改内容为调整相关字段以适配营销活动业务变更需求。</t>
  </si>
  <si>
    <t>营销活动终端机型配置数据</t>
  </si>
  <si>
    <t>作为业务人员，当需要查询营销活动终端机型配置数据时，能够通过此功能查出地市编码、渠道类型、用户标识、服务号码、活动编号等信息，以便于快速获取营销活动相关信息。本次涉及调整修改内容为优化营销活动终端机型配置数据查询功能。</t>
  </si>
  <si>
    <t>营销活动终端机型配置数据查询</t>
  </si>
  <si>
    <t>作为业务人员，当需要删除营销活动终端机型配置数据时，能够通过此功能删除营销活动终端机型配置数据，以便于清理失效的营销活动配置数据。本次涉及调整修改内容为新增营销活动终端机型配置数据删除处理逻辑，支持通过营销活动终端机型配置数据编号删除指定记录。</t>
  </si>
  <si>
    <t>营销活动终端机型配置数据删除</t>
  </si>
  <si>
    <t>作为业务人员，当需要新增营销活动终端机型配置数据时，能够通过此功能新增营销活动终端机型配置数据，以便于及时配置营销活动相关数据。本次涉及调整修改内容为新增营销活动终端机型配置数据新增处理逻辑，支持编号、名称、类型、状态、操作人员等内容的录入。</t>
  </si>
  <si>
    <t>营销活动终端机型配置数据新增</t>
  </si>
  <si>
    <t>作为业务人员，当需要修改营销活动终端机型配置数据时，能够通过此功能修改营销活动终端机型配置数据，以便于及时更新营销活动相关数据。本次涉及调整修改内容为调整渠道类型、用户标识、服务号码、工单号等业务处理逻辑以满足营销活动配置管理需求。</t>
  </si>
  <si>
    <t>营销活动终端机型配置数据修改</t>
  </si>
  <si>
    <t>营销活动终端机型信息在产商品中心中维护和存储，支持业务人员对数据做维护管理，数据主要字段包括：编码、失效时间、活动描述信息、创建时间、生效时间、活动类型等；同时数据提供给终端营销活动管理业务引用。本次涉及调整修改内容为调整相关字段以适配营销活动业务变更需求。</t>
  </si>
  <si>
    <t>营销活动终端机型信息</t>
  </si>
  <si>
    <t>作为业务人员，当需要查询营销活动终端机型信息时，能够通过此功能查出地市编码、渠道类型、用户标识、服务号码、活动编号等信息，以便于快速获取营销活动相关信息。本次涉及调整修改内容为优化营销活动终端机型信息查询功能。</t>
  </si>
  <si>
    <t>营销活动终端机型信息查询</t>
  </si>
  <si>
    <t>作为业务人员，当需要删除营销活动终端机型信息时，能够通过此功能删除营销活动终端机型信息，以便于清理失效的营销活动配置数据。本次涉及调整修改内容为新增营销活动终端机型信息删除处理逻辑，支持通过营销活动终端机型信息编号删除指定记录。</t>
  </si>
  <si>
    <t>营销活动终端机型信息删除</t>
  </si>
  <si>
    <t>作为业务人员，当需要新增营销活动终端机型信息时，能够通过此功能新增营销活动终端机型信息，以便于及时配置营销活动相关数据。本次涉及调整修改内容为新增营销活动终端机型信息新增处理逻辑，支持编号、名称、类型、状态、操作人员等内容的录入。</t>
  </si>
  <si>
    <t>营销活动终端机型信息新增</t>
  </si>
  <si>
    <t>作为业务人员，当需要修改营销活动终端机型信息时，能够通过此功能修改营销活动终端机型信息，以便于及时更新营销活动相关数据。本次涉及调整修改内容为调整渠道类型、用户标识、服务号码、工单号等业务处理逻辑以满足营销活动配置管理需求。</t>
  </si>
  <si>
    <t>营销活动终端机型信息修改</t>
  </si>
  <si>
    <t>营销规则模版参数信息在产商品中心中维护和存储，支持业务人员对数据做维护管理，数据主要字段包括：失效时间、归属人、主办单位、创建时间、排序号、主键ID等；同时数据提供给营销活动前项限制规则配置业务引用。本次涉及调整修改内容为调整相关字段以适配营销活动业务变更需求。</t>
  </si>
  <si>
    <t>营销规则模版参数信息</t>
  </si>
  <si>
    <t>作为业务人员，当需要查询营销规则模版参数信息时，能够通过此功能查出活动、地市编码、活动属性标识、活动属性、活动属性名称等信息，以便于快速获取营销活动相关信息。本次涉及调整修改内容为优化营销规则模版参数信息查询功能。</t>
  </si>
  <si>
    <t>营销规则模版参数信息查询</t>
  </si>
  <si>
    <t>作为业务人员，当需要删除营销规则模版参数信息时，能够通过此功能删除营销规则模版参数信息，以便于清理失效的营销活动配置数据。本次涉及调整修改内容为新增营销规则模版参数信息删除处理逻辑，支持通过营销规则模版参数信息编号删除指定记录。</t>
  </si>
  <si>
    <t>营销规则模版参数信息删除</t>
  </si>
  <si>
    <t>作为业务人员，当需要新增营销规则模版参数信息时，能够通过此功能新增营销规则模版参数信息，以便于及时配置营销活动相关数据。本次涉及调整修改内容为新增营销规则模版参数信息新增处理逻辑，支持编号、名称、类型、状态、操作人员等内容的录入。</t>
  </si>
  <si>
    <t>营销规则模版参数信息新增</t>
  </si>
  <si>
    <t>作为业务人员，当需要修改营销规则模版参数信息时，能够通过此功能修改营销规则模版参数信息，以便于及时更新营销活动相关数据。本次涉及调整修改内容为调整活动、活动属性标识、活动属性、活动属性名称等业务处理逻辑以满足营销活动配置管理需求。</t>
  </si>
  <si>
    <t>营销规则模版参数信息修改</t>
  </si>
  <si>
    <t>营销规则模版信息在产商品中心中维护和存储，支持业务人员对数据做维护管理，数据主要字段包括：操作员工号、版本号、状态、主办单位、活动状态、活动描述信息等；同时数据提供给营销活动前项限制规则配置业务引用。本次涉及调整修改内容为调整相关字段以适配营销活动业务变更需求。</t>
  </si>
  <si>
    <t>营销规则模版信息</t>
  </si>
  <si>
    <t>作为业务人员，当需要查询营销规则模版信息时，能够通过此功能查出营销活动编码、营销活动名称、营销活动类型、业务类型、营销活动小类编码等信息，以便于快速获取营销活动相关信息。本次涉及调整修改内容为优化营销规则模版信息查询功能。</t>
  </si>
  <si>
    <t>营销规则模版信息查询</t>
  </si>
  <si>
    <t>作为业务人员，当需要删除营销规则模版信息时，能够通过此功能删除营销规则模版信息，以便于清理失效的营销活动配置数据。本次涉及调整修改内容为新增营销规则模版信息删除处理逻辑，支持通过营销规则模版信息编号删除指定记录。</t>
  </si>
  <si>
    <t>营销规则模版信息删除</t>
  </si>
  <si>
    <t>作为业务人员，当需要新增营销规则模版信息时，能够通过此功能新增营销规则模版信息，以便于及时配置营销活动相关数据。本次涉及调整修改内容为新增营销规则模版信息新增处理逻辑，支持编号、名称、类型、状态、操作人员等内容的录入。</t>
  </si>
  <si>
    <t>营销规则模版信息新增</t>
  </si>
  <si>
    <t>作为业务人员，当需要修改营销规则模版信息时，能够通过此功能修改营销规则模版信息，以便于及时更新营销活动相关数据。本次涉及调整修改内容为调整营销活动名称、营销活动类型、业务类型、营销活动描述信息等业务处理逻辑以满足营销活动配置管理需求。</t>
  </si>
  <si>
    <t>营销规则模版信息修改</t>
  </si>
  <si>
    <t>营销子规则参数信息在产商品中心中维护和存储，支持业务人员对数据做维护管理，数据主要字段包括：更新人、组织编码、更新时间、描述、版本号、创建部门等；同时数据提供给营销活动前项限制规则配置业务引用。本次涉及调整修改内容为调整相关字段以适配营销活动业务变更需求。</t>
  </si>
  <si>
    <t>营销子规则参数信息</t>
  </si>
  <si>
    <t>作为业务人员，当需要查询营销子规则参数信息时，能够通过此功能查出服务号码、方式编码、操作日期、应付款0、应付款1等信息，以便于快速获取营销活动相关信息。本次涉及调整修改内容为优化营销子规则参数信息查询功能。</t>
  </si>
  <si>
    <t>营销子规则参数信息查询</t>
  </si>
  <si>
    <t>作为业务人员，当需要删除营销子规则参数信息时，能够通过此功能删除营销子规则参数信息，以便于清理失效的营销活动配置数据。本次涉及调整修改内容为新增营销子规则参数信息删除处理逻辑，支持通过营销子规则参数信息编号删除指定记录。</t>
  </si>
  <si>
    <t>营销子规则参数信息删除</t>
  </si>
  <si>
    <t>作为业务人员，当需要新增营销子规则参数信息时，能够通过此功能新增营销子规则参数信息，以便于及时配置营销活动相关数据。本次涉及调整修改内容为新增营销子规则参数信息新增处理逻辑，支持编号、名称、类型、状态、操作人员等内容的录入。</t>
  </si>
  <si>
    <t>营销子规则参数信息新增</t>
  </si>
  <si>
    <t>作为业务人员，当需要修改营销子规则参数信息时，能够通过此功能修改营销子规则参数信息，以便于及时更新营销活动相关数据。本次涉及调整修改内容为调整服务号码、操作日期、应付款0、应付款1等业务处理逻辑以满足营销活动配置管理需求。</t>
  </si>
  <si>
    <t>营销子规则参数信息修改</t>
  </si>
  <si>
    <t>营销子规则信息在产商品中心中维护和存储，支持业务人员对数据做维护管理，数据主要字段包括：订单号、处理订单号、渠道类型、服务号码、用户标识、活动编码、活动名称、方式编码、方式名称、方式类型等；同时数据提供给营销活动前项限制规则配置业务引用。本次涉及调整修改内容为调整相关字段以适配营销活动业务变更需求。</t>
  </si>
  <si>
    <t>营销子规则信息</t>
  </si>
  <si>
    <t>作为业务人员，当需要查询营销子规则信息时，能够通过此功能查出订单号、处理订单号、渠道类型、服务号码、用户标识等信息，以便于快速获取营销活动相关信息。本次涉及调整修改内容为优化营销子规则信息查询功能。</t>
  </si>
  <si>
    <t>营销子规则信息查询</t>
  </si>
  <si>
    <t>作为业务人员，当需要删除营销子规则信息时，能够通过此功能删除营销子规则信息，以便于清理失效的营销活动配置数据。本次涉及调整修改内容为新增营销子规则信息删除处理逻辑，支持通过营销子规则信息编号删除指定记录。</t>
  </si>
  <si>
    <t>营销子规则信息删除</t>
  </si>
  <si>
    <t>作为业务人员，当需要新增营销子规则信息时，能够通过此功能新增营销子规则信息，以便于及时配置营销活动相关数据。本次涉及调整修改内容为新增营销子规则信息新增处理逻辑，支持编号、名称、类型、状态、操作人员等内容的录入。</t>
  </si>
  <si>
    <t>营销子规则信息新增</t>
  </si>
  <si>
    <t>作为业务人员，当需要修改营销子规则信息时，能够通过此功能修改营销子规则信息，以便于及时更新营销活动相关数据。本次涉及调整修改内容为调整订单号、处理订单号、渠道类型、服务号码等业务处理逻辑以满足营销活动配置管理需求。</t>
  </si>
  <si>
    <t>营销子规则信息修改</t>
  </si>
  <si>
    <t>优惠营销活动档位信息在产商品中心中维护和存储，支持业务人员对数据做维护管理，数据主要字段包括：启用状态、结束日期、档位状态、折扣率、统一活动编码、档位名称等；同时数据提供给营销活动配置管理业务引用。本次涉及调整修改内容为调整相关字段以适配营销活动业务变更需求。</t>
  </si>
  <si>
    <t>优惠营销活动档位信息</t>
  </si>
  <si>
    <t>作为业务人员，当需要查询优惠营销活动档位信息时，能够通过此功能查出活动、地市编码、活动属性标识、活动属性、活动属性名称等信息，以便于快速获取营销活动相关信息。本次涉及调整修改内容为优化优惠营销活动档位信息查询功能。</t>
  </si>
  <si>
    <t>优惠营销活动档位信息查询</t>
  </si>
  <si>
    <t>作为业务人员，当需要删除优惠营销活动档位信息时，能够通过此功能删除优惠营销活动档位信息，以便于清理失效的营销活动配置数据。本次涉及调整修改内容为新增优惠营销活动档位信息删除处理逻辑，支持通过优惠营销活动档位信息编号删除指定记录。</t>
  </si>
  <si>
    <t>优惠营销活动档位信息删除</t>
  </si>
  <si>
    <t>作为业务人员，当需要新增优惠营销活动档位信息时，能够通过此功能新增优惠营销活动档位信息，以便于及时配置营销活动相关数据。本次涉及调整修改内容为新增优惠营销活动档位信息新增处理逻辑，支持编号、名称、类型、状态、操作人员等内容的录入。</t>
  </si>
  <si>
    <t>优惠营销活动档位信息新增</t>
  </si>
  <si>
    <t>作为业务人员，当需要修改优惠营销活动档位信息时，能够通过此功能修改优惠营销活动档位信息，以便于及时更新营销活动相关数据。本次涉及调整修改内容为调整活动、活动属性标识、活动属性、活动属性名称等业务处理逻辑以满足营销活动配置管理需求。</t>
  </si>
  <si>
    <t>优惠营销活动档位信息修改</t>
  </si>
  <si>
    <t>优惠营销活动合约信息在产商品中心中维护和存储，支持业务人员对数据做维护管理，数据主要字段包括：标签、生效时间、违约天数、是否有效、描述、合约类型等；同时数据提供给营销活动配置管理业务引用。本次涉及调整修改内容为调整相关字段以适配营销活动业务变更需求。</t>
  </si>
  <si>
    <t>优惠营销活动合约信息</t>
  </si>
  <si>
    <t>作为业务人员，当需要查询优惠营销活动合约信息时，能够通过此功能查出活动、地市编码、活动属性标识、活动属性、活动属性名称等信息，以便于快速获取营销活动相关信息。本次涉及调整修改内容为优化优惠营销活动合约信息查询功能。</t>
  </si>
  <si>
    <t>优惠营销活动合约信息查询</t>
  </si>
  <si>
    <t>作为业务人员，当需要删除优惠营销活动合约信息时，能够通过此功能删除优惠营销活动合约信息，以便于清理失效的营销活动配置数据。本次涉及调整修改内容为新增优惠营销活动合约信息删除处理逻辑，支持通过优惠营销活动合约信息编号删除指定记录。</t>
  </si>
  <si>
    <t>优惠营销活动合约信息删除</t>
  </si>
  <si>
    <t>作为业务人员，当需要新增优惠营销活动合约信息时，能够通过此功能新增优惠营销活动合约信息，以便于及时配置营销活动相关数据。本次涉及调整修改内容为新增优惠营销活动合约信息新增处理逻辑，支持编号、名称、类型、状态、操作人员等内容的录入。</t>
  </si>
  <si>
    <t>优惠营销活动合约信息新增</t>
  </si>
  <si>
    <t>作为业务人员，当需要修改优惠营销活动合约信息时，能够通过此功能修改优惠营销活动合约信息，以便于及时更新营销活动相关数据。本次涉及调整修改内容为调整活动、活动属性标识、活动属性、活动属性名称等业务处理逻辑以满足营销活动配置管理需求。</t>
  </si>
  <si>
    <t>优惠营销活动合约信息修改</t>
  </si>
  <si>
    <t>优惠营销活动渠道信息在产商品中心中维护和存储，支持业务人员对数据做维护管理，数据主要字段包括：更新时间、类型、上级渠道、区县编码、更新人、渠道级别等；同时数据提供给营销活动配置管理业务引用。本次涉及调整修改内容为调整相关字段以适配营销活动业务变更需求。</t>
  </si>
  <si>
    <t>优惠营销活动渠道信息</t>
  </si>
  <si>
    <t>作为业务人员，当需要查询优惠营销活动渠道信息时，能够通过此功能查出活动、地市编码、活动属性标识、活动属性、活动属性名称等信息，以便于快速获取营销活动相关信息。本次涉及调整修改内容为优化优惠营销活动渠道信息查询功能。</t>
  </si>
  <si>
    <t>优惠营销活动渠道信息查询</t>
  </si>
  <si>
    <t>作为业务人员，当需要删除优惠营销活动渠道信息时，能够通过此功能删除优惠营销活动渠道信息，以便于清理失效的营销活动配置数据。本次涉及调整修改内容为新增优惠营销活动渠道信息删除处理逻辑，支持通过优惠营销活动渠道信息编号删除指定记录。</t>
  </si>
  <si>
    <t>优惠营销活动渠道信息删除</t>
  </si>
  <si>
    <t>作为业务人员，当需要新增优惠营销活动渠道信息时，能够通过此功能新增优惠营销活动渠道信息，以便于及时配置营销活动相关数据。本次涉及调整修改内容为新增优惠营销活动渠道信息新增处理逻辑，支持编号、名称、类型、状态、操作人员等内容的录入。</t>
  </si>
  <si>
    <t>优惠营销活动渠道信息新增</t>
  </si>
  <si>
    <t>作为业务人员，当需要修改优惠营销活动渠道信息时，能够通过此功能修改优惠营销活动渠道信息，以便于及时更新营销活动相关数据。本次涉及调整修改内容为调整活动、活动属性标识、活动属性、活动属性名称等业务处理逻辑以满足营销活动配置管理需求。</t>
  </si>
  <si>
    <t>优惠营销活动渠道信息修改</t>
  </si>
  <si>
    <t>优惠营销活动销售规则信息在产商品中心中维护和存储，支持业务人员对数据做维护管理，数据主要字段包括：类型、创建人、规则描述、状态、备注、标签等；同时数据提供给营销活动配置管理业务引用。本次涉及调整修改内容为调整相关字段以适配营销活动业务变更需求。</t>
  </si>
  <si>
    <t>优惠营销活动销售规则信息</t>
  </si>
  <si>
    <t>作为业务人员，当需要查询优惠营销活动销售规则信息时，能够通过此功能查出地市编码、渠道类型、用户标识、服务号码、活动编号等信息，以便于快速获取营销活动相关信息。本次涉及调整修改内容为优化优惠营销活动销售规则信息查询功能。</t>
  </si>
  <si>
    <t>优惠营销活动销售规则信息查询</t>
  </si>
  <si>
    <t>作为业务人员，当需要删除优惠营销活动销售规则信息时，能够通过此功能删除优惠营销活动销售规则信息，以便于清理失效的营销活动配置数据。本次涉及调整修改内容为新增优惠营销活动销售规则信息删除处理逻辑，支持通过优惠营销活动销售规则信息编号删除指定记录。</t>
  </si>
  <si>
    <t>优惠营销活动销售规则信息删除</t>
  </si>
  <si>
    <t>作为业务人员，当需要新增优惠营销活动销售规则信息时，能够通过此功能新增优惠营销活动销售规则信息，以便于及时配置营销活动相关数据。本次涉及调整修改内容为新增优惠营销活动销售规则信息新增处理逻辑，支持编号、名称、类型、状态、操作人员等内容的录入。</t>
  </si>
  <si>
    <t>优惠营销活动销售规则信息新增</t>
  </si>
  <si>
    <t>作为业务人员，当需要修改优惠营销活动销售规则信息时，能够通过此功能修改优惠营销活动销售规则信息，以便于及时更新营销活动相关数据。本次涉及调整修改内容为调整渠道类型、用户标识、服务号码、工单号等业务处理逻辑以满足营销活动配置管理需求。</t>
  </si>
  <si>
    <t>优惠营销活动销售规则信息修改</t>
  </si>
  <si>
    <t>优惠营销活动信息在产商品中心中维护和存储，支持业务人员对数据做维护管理，数据主要字段包括：权限级别、返还上限、创建时间、标签、档位名称、备注等；同时数据提供给营销活动配置管理业务引用。本次涉及调整修改内容为调整相关字段以适配营销活动业务变更需求。</t>
  </si>
  <si>
    <t>优惠营销活动信息</t>
  </si>
  <si>
    <t>作为业务人员，当需要查询优惠营销活动信息时，能够通过此功能查出营销活动编码、营销活动名称、营销活动类型、业务类型、营销活动小类编码等信息，以便于快速获取营销活动相关信息。本次涉及调整修改内容为优化优惠营销活动信息查询功能。</t>
  </si>
  <si>
    <t>优惠营销活动信息查询</t>
  </si>
  <si>
    <t>作为业务人员，当需要删除优惠营销活动信息时，能够通过此功能删除优惠营销活动信息，以便于清理失效的营销活动配置数据。本次涉及调整修改内容为新增优惠营销活动信息删除处理逻辑，支持通过优惠营销活动信息编号删除指定记录。</t>
  </si>
  <si>
    <t>优惠营销活动信息删除</t>
  </si>
  <si>
    <t>作为业务人员，当需要新增优惠营销活动信息时，能够通过此功能新增优惠营销活动信息，以便于及时配置营销活动相关数据。本次涉及调整修改内容为新增优惠营销活动信息新增处理逻辑，支持编号、名称、类型、状态、操作人员等内容的录入。</t>
  </si>
  <si>
    <t>优惠营销活动信息新增</t>
  </si>
  <si>
    <t>作为业务人员，当需要修改优惠营销活动信息时，能够通过此功能修改优惠营销活动信息，以便于及时更新营销活动相关数据。本次涉及调整修改内容为调整营销活动名称、营销活动类型、业务类型、营销活动描述信息等业务处理逻辑以满足营销活动配置管理需求。</t>
  </si>
  <si>
    <t>优惠营销活动信息修改</t>
  </si>
  <si>
    <t>个人预存赠送营销活动档位信息在产商品中心中维护和存储，支持业务人员对数据做维护管理，数据主要字段包括：启用状态、失效时间、排序号、档位级别、档位状态、活动门槛等；同时数据提供给存送营销活动配置业务引用。本次涉及调整修改内容为调整相关字段以适配营销活动业务变更需求。</t>
  </si>
  <si>
    <t>个人预存赠送营销活动档位信息</t>
  </si>
  <si>
    <t>作为业务人员，当需要查询个人预存赠送营销活动档位信息时，能够通过此功能查出营销活动档位编码、营销活动档位名称、活动编码、是否有效、开始日期等信息，以便于快速获取营销活动相关信息。本次涉及调整修改内容为优化个人预存赠送营销活动档位信息查询功能。</t>
  </si>
  <si>
    <t>个人预存赠送营销活动档位信息查询</t>
  </si>
  <si>
    <t>作为业务人员，当需要删除个人预存赠送营销活动档位信息时，能够通过此功能删除个人预存赠送营销活动档位信息，以便于清理失效的营销活动配置数据。本次涉及调整修改内容为新增个人预存赠送营销活动档位信息删除处理逻辑，支持通过个人预存赠送营销活动档位信息编号删除指定记录。</t>
  </si>
  <si>
    <t>个人预存赠送营销活动档位信息删除</t>
  </si>
  <si>
    <t>作为业务人员，当需要新增个人预存赠送营销活动档位信息时，能够通过此功能新增个人预存赠送营销活动档位信息，以便于及时配置营销活动相关数据。本次涉及调整修改内容为新增个人预存赠送营销活动档位信息新增处理逻辑，支持编号、名称、类型、状态、操作人员等内容的录入。</t>
  </si>
  <si>
    <t>个人预存赠送营销活动档位信息新增</t>
  </si>
  <si>
    <t>作为业务人员，当需要修改个人预存赠送营销活动档位信息时，能够通过此功能修改个人预存赠送营销活动档位信息，以便于及时更新营销活动相关数据。本次涉及调整修改内容为调整营销活动档位名称、是否有效、开始日期、结束日期等业务处理逻辑以满足营销活动配置管理需求。</t>
  </si>
  <si>
    <t>个人预存赠送营销活动档位信息修改</t>
  </si>
  <si>
    <t>个人预存赠送营销活动合约信息在产商品中心中维护和存储，支持业务人员对数据做维护管理，数据主要字段包括：删除标识、客户名称、操作员工号、违约天数、合约类型、签约日期等；同时数据提供给存送营销活动配置业务引用。本次涉及调整修改内容为调整相关字段以适配营销活动业务变更需求。</t>
  </si>
  <si>
    <t>个人预存赠送营销活动合约信息</t>
  </si>
  <si>
    <t>作为业务人员，当需要查询个人预存赠送营销活动合约信息时，能够通过此功能查出任务执行编号、号码类型、服务号码、用户标识、地市编码等信息，以便于快速获取营销活动相关信息。本次涉及调整修改内容为优化个人预存赠送营销活动合约信息查询功能。</t>
  </si>
  <si>
    <t>个人预存赠送营销活动合约信息查询</t>
  </si>
  <si>
    <t>作为业务人员，当需要删除个人预存赠送营销活动合约信息时，能够通过此功能删除个人预存赠送营销活动合约信息，以便于清理失效的营销活动配置数据。本次涉及调整修改内容为新增个人预存赠送营销活动合约信息删除处理逻辑，支持通过个人预存赠送营销活动合约信息编号删除指定记录。</t>
  </si>
  <si>
    <t>个人预存赠送营销活动合约信息删除</t>
  </si>
  <si>
    <t>作为业务人员，当需要新增个人预存赠送营销活动合约信息时，能够通过此功能新增个人预存赠送营销活动合约信息，以便于及时配置营销活动相关数据。本次涉及调整修改内容为新增个人预存赠送营销活动合约信息新增处理逻辑，支持编号、名称、类型、状态、操作人员等内容的录入。</t>
  </si>
  <si>
    <t>个人预存赠送营销活动合约信息新增</t>
  </si>
  <si>
    <t>作为业务人员，当需要修改个人预存赠送营销活动合约信息时，能够通过此功能修改个人预存赠送营销活动合约信息，以便于及时更新营销活动相关数据。本次涉及调整修改内容为调整号码类型、服务号码、用户标识、终端型号等业务处理逻辑以满足营销活动配置管理需求。</t>
  </si>
  <si>
    <t>个人预存赠送营销活动合约信息修改</t>
  </si>
  <si>
    <t>个人预存赠送营销活动渠道信息在产商品中心中维护和存储，支持业务人员对数据做维护管理，数据主要字段包括：状态、是否有效、渠道类型、联系人、删除标识、创建人等；同时数据提供给存送营销活动配置业务引用。本次涉及调整修改内容为调整相关字段以适配营销活动业务变更需求。</t>
  </si>
  <si>
    <t>个人预存赠送营销活动渠道信息</t>
  </si>
  <si>
    <t>作为业务人员，当需要查询个人预存赠送营销活动渠道信息时，能够通过此功能查出任务执行编号、号码类型、服务号码、用户标识、地市编码等信息，以便于快速获取营销活动相关信息。本次涉及调整修改内容为优化个人预存赠送营销活动渠道信息查询功能。</t>
  </si>
  <si>
    <t>个人预存赠送营销活动渠道信息查询</t>
  </si>
  <si>
    <t>作为业务人员，当需要删除个人预存赠送营销活动渠道信息时，能够通过此功能删除个人预存赠送营销活动渠道信息，以便于清理失效的营销活动配置数据。本次涉及调整修改内容为新增个人预存赠送营销活动渠道信息删除处理逻辑，支持通过个人预存赠送营销活动渠道信息编号删除指定记录。</t>
  </si>
  <si>
    <t>个人预存赠送营销活动渠道信息删除</t>
  </si>
  <si>
    <t>作为业务人员，当需要新增个人预存赠送营销活动渠道信息时，能够通过此功能新增个人预存赠送营销活动渠道信息，以便于及时配置营销活动相关数据。本次涉及调整修改内容为新增个人预存赠送营销活动渠道信息新增处理逻辑，支持编号、名称、类型、状态、操作人员等内容的录入。</t>
  </si>
  <si>
    <t>个人预存赠送营销活动渠道信息新增</t>
  </si>
  <si>
    <t>作为业务人员，当需要修改个人预存赠送营销活动渠道信息时，能够通过此功能修改个人预存赠送营销活动渠道信息，以便于及时更新营销活动相关数据。本次涉及调整修改内容为调整号码类型、服务号码、用户标识、终端型号等业务处理逻辑以满足营销活动配置管理需求。</t>
  </si>
  <si>
    <t>个人预存赠送营销活动渠道信息修改</t>
  </si>
  <si>
    <t>个人预存赠送营销活动销售规则信息在产商品中心中维护和存储，支持业务人员对数据做维护管理，数据主要字段包括：生效日期、排序号、执行条件、失效日期、状态、类型等；同时数据提供给存送营销活动配置业务引用。本次涉及调整修改内容为调整相关字段以适配营销活动业务变更需求。</t>
  </si>
  <si>
    <t>个人预存赠送营销活动销售规则信息</t>
  </si>
  <si>
    <t>作为业务人员，当需要查询个人预存赠送营销活动销售规则信息时，能够通过此功能查出任务执行编号、号码类型、服务号码、用户标识、地市编码等信息，以便于快速获取营销活动相关信息。本次涉及调整修改内容为优化个人预存赠送营销活动销售规则信息查询功能。</t>
  </si>
  <si>
    <t>个人预存赠送营销活动销售规则信息查询</t>
  </si>
  <si>
    <t>作为业务人员，当需要删除个人预存赠送营销活动销售规则信息时，能够通过此功能删除个人预存赠送营销活动销售规则信息，以便于清理失效的营销活动配置数据。本次涉及调整修改内容为新增个人预存赠送营销活动销售规则信息删除处理逻辑，支持通过个人预存赠送营销活动销售规则信息编号删除指定记录。</t>
  </si>
  <si>
    <t>个人预存赠送营销活动销售规则信息删除</t>
  </si>
  <si>
    <t>作为业务人员，当需要新增个人预存赠送营销活动销售规则信息时，能够通过此功能新增个人预存赠送营销活动销售规则信息，以便于及时配置营销活动相关数据。本次涉及调整修改内容为新增个人预存赠送营销活动销售规则信息新增处理逻辑，支持编号、名称、类型、状态、操作人员等内容的录入。</t>
  </si>
  <si>
    <t>个人预存赠送营销活动销售规则信息新增</t>
  </si>
  <si>
    <t>作为业务人员，当需要修改个人预存赠送营销活动销售规则信息时，能够通过此功能修改个人预存赠送营销活动销售规则信息，以便于及时更新营销活动相关数据。本次涉及调整修改内容为调整号码类型、服务号码、用户标识、终端型号等业务处理逻辑以满足营销活动配置管理需求。</t>
  </si>
  <si>
    <t>个人预存赠送营销活动销售规则信息修改</t>
  </si>
  <si>
    <t>个人预存赠送营销活动信息在产商品中心中维护和存储，支持业务人员对数据做维护管理，数据主要字段包括：生效时间、是否启用、更新人、活动名称、失效时间、活动门槛等；同时数据提供给存送营销活动配置业务引用。本次涉及调整修改内容为调整相关字段以适配营销活动业务变更需求。</t>
  </si>
  <si>
    <t>个人预存赠送营销活动信息</t>
  </si>
  <si>
    <t>作为业务人员，当需要查询个人预存赠送营销活动信息时，能够通过此功能查出营销活动编码、营销活动名称、营销活动类型、业务类型、营销活动小类编码等信息，以便于快速获取营销活动相关信息。本次涉及调整修改内容为优化个人预存赠送营销活动信息查询功能。</t>
  </si>
  <si>
    <t>个人预存赠送营销活动信息查询</t>
  </si>
  <si>
    <t>作为业务人员，当需要删除个人预存赠送营销活动信息时，能够通过此功能删除个人预存赠送营销活动信息，以便于清理失效的营销活动配置数据。本次涉及调整修改内容为新增个人预存赠送营销活动信息删除处理逻辑，支持通过个人预存赠送营销活动信息编号删除指定记录。</t>
  </si>
  <si>
    <t>个人预存赠送营销活动信息删除</t>
  </si>
  <si>
    <t>作为业务人员，当需要新增个人预存赠送营销活动信息时，能够通过此功能新增个人预存赠送营销活动信息，以便于及时配置营销活动相关数据。本次涉及调整修改内容为新增个人预存赠送营销活动信息新增处理逻辑，支持编号、名称、类型、状态、操作人员等内容的录入。</t>
  </si>
  <si>
    <t>个人预存赠送营销活动信息新增</t>
  </si>
  <si>
    <t>作为业务人员，当需要修改个人预存赠送营销活动信息时，能够通过此功能修改个人预存赠送营销活动信息，以便于及时更新营销活动相关数据。本次涉及调整修改内容为调整营销活动名称、营销活动类型、业务类型、营销活动描述信息等业务处理逻辑以满足营销活动配置管理需求。</t>
  </si>
  <si>
    <t>个人预存赠送营销活动信息修改</t>
  </si>
  <si>
    <t>家庭预存赠送营销活动档位信息在产商品中心中维护和存储，支持业务人员对数据做维护管理，数据主要字段包括：优惠折扣、创建人、统一活动编码、活动名称、返还金额、是否启用等；同时数据提供给存送营销活动配置业务引用。本次涉及调整修改内容为调整相关字段以适配营销活动业务变更需求。</t>
  </si>
  <si>
    <t>家庭预存赠送营销活动档位信息</t>
  </si>
  <si>
    <t>作为业务人员，当需要查询家庭预存赠送营销活动档位信息时，能够通过此功能查出营销活动档位编码、营销活动档位名称、活动编码、是否有效、开始日期等信息，以便于快速获取营销活动相关信息。本次涉及调整修改内容为优化家庭预存赠送营销活动档位信息查询功能。</t>
  </si>
  <si>
    <t>家庭预存赠送营销活动档位信息查询</t>
  </si>
  <si>
    <t>作为业务人员，当需要删除家庭预存赠送营销活动档位信息时，能够通过此功能删除家庭预存赠送营销活动档位信息，以便于清理失效的营销活动配置数据。本次涉及调整修改内容为新增家庭预存赠送营销活动档位信息删除处理逻辑，支持通过家庭预存赠送营销活动档位信息编号删除指定记录。</t>
  </si>
  <si>
    <t>家庭预存赠送营销活动档位信息删除</t>
  </si>
  <si>
    <t>作为业务人员，当需要新增家庭预存赠送营销活动档位信息时，能够通过此功能新增家庭预存赠送营销活动档位信息，以便于及时配置营销活动相关数据。本次涉及调整修改内容为新增家庭预存赠送营销活动档位信息新增处理逻辑，支持编号、名称、类型、状态、操作人员等内容的录入。</t>
  </si>
  <si>
    <t>家庭预存赠送营销活动档位信息新增</t>
  </si>
  <si>
    <t>作为业务人员，当需要修改家庭预存赠送营销活动档位信息时，能够通过此功能修改家庭预存赠送营销活动档位信息，以便于及时更新营销活动相关数据。本次涉及调整修改内容为调整营销活动档位名称、是否有效、开始日期、结束日期等业务处理逻辑以满足营销活动配置管理需求。</t>
  </si>
  <si>
    <t>家庭预存赠送营销活动档位信息修改</t>
  </si>
  <si>
    <t>家庭预存赠送营销活动合约信息在产商品中心中维护和存储，支持业务人员对数据做维护管理，数据主要字段包括：编码、标签、违约金、生效时间、违约天数、合约名称等；同时数据提供给存送营销活动配置业务引用。本次涉及调整修改内容为调整相关字段以适配营销活动业务变更需求。</t>
  </si>
  <si>
    <t>家庭预存赠送营销活动合约信息</t>
  </si>
  <si>
    <t>作为业务人员，当需要查询家庭预存赠送营销活动合约信息时，能够通过此功能查出任务执行编号、号码类型、服务号码、用户标识、地市编码等信息，以便于快速获取营销活动相关信息。本次涉及调整修改内容为优化家庭预存赠送营销活动合约信息查询功能。</t>
  </si>
  <si>
    <t>家庭预存赠送营销活动合约信息查询</t>
  </si>
  <si>
    <t>作为业务人员，当需要删除家庭预存赠送营销活动合约信息时，能够通过此功能删除家庭预存赠送营销活动合约信息，以便于清理失效的营销活动配置数据。本次涉及调整修改内容为新增家庭预存赠送营销活动合约信息删除处理逻辑，支持通过家庭预存赠送营销活动合约信息编号删除指定记录。</t>
  </si>
  <si>
    <t>家庭预存赠送营销活动合约信息删除</t>
  </si>
  <si>
    <t>作为业务人员，当需要新增家庭预存赠送营销活动合约信息时，能够通过此功能新增家庭预存赠送营销活动合约信息，以便于及时配置营销活动相关数据。本次涉及调整修改内容为新增家庭预存赠送营销活动合约信息新增处理逻辑，支持编号、名称、类型、状态、操作人员等内容的录入。</t>
  </si>
  <si>
    <t>家庭预存赠送营销活动合约信息新增</t>
  </si>
  <si>
    <t>作为业务人员，当需要修改家庭预存赠送营销活动合约信息时，能够通过此功能修改家庭预存赠送营销活动合约信息，以便于及时更新营销活动相关数据。本次涉及调整修改内容为调整号码类型、服务号码、用户标识、终端型号等业务处理逻辑以满足营销活动配置管理需求。</t>
  </si>
  <si>
    <t>家庭预存赠送营销活动合约信息修改</t>
  </si>
  <si>
    <t>家庭预存赠送营销活动渠道信息在产商品中心中维护和存储，支持业务人员对数据做维护管理，数据主要字段包括：负责人电话、区县编码、联系人、更新人、渠道负责人、营业厅编号等；同时数据提供给存送营销活动配置业务引用。本次涉及调整修改内容为调整相关字段以适配营销活动业务变更需求。</t>
  </si>
  <si>
    <t>家庭预存赠送营销活动渠道信息</t>
  </si>
  <si>
    <t>作为业务人员，当需要查询家庭预存赠送营销活动渠道信息时，能够通过此功能查出任务执行编号、号码类型、服务号码、用户标识、地市编码等信息，以便于快速获取营销活动相关信息。本次涉及调整修改内容为优化家庭预存赠送营销活动渠道信息查询功能。</t>
  </si>
  <si>
    <t>家庭预存赠送营销活动渠道信息查询</t>
  </si>
  <si>
    <t>作为业务人员，当需要删除家庭预存赠送营销活动渠道信息时，能够通过此功能删除家庭预存赠送营销活动渠道信息，以便于清理失效的营销活动配置数据。本次涉及调整修改内容为新增家庭预存赠送营销活动渠道信息删除处理逻辑，支持通过家庭预存赠送营销活动渠道信息编号删除指定记录。</t>
  </si>
  <si>
    <t>家庭预存赠送营销活动渠道信息删除</t>
  </si>
  <si>
    <t>作为业务人员，当需要新增家庭预存赠送营销活动渠道信息时，能够通过此功能新增家庭预存赠送营销活动渠道信息，以便于及时配置营销活动相关数据。本次涉及调整修改内容为新增家庭预存赠送营销活动渠道信息新增处理逻辑，支持编号、名称、类型、状态、操作人员等内容的录入。</t>
  </si>
  <si>
    <t>家庭预存赠送营销活动渠道信息新增</t>
  </si>
  <si>
    <t>作为业务人员，当需要修改家庭预存赠送营销活动渠道信息时，能够通过此功能修改家庭预存赠送营销活动渠道信息，以便于及时更新营销活动相关数据。本次涉及调整修改内容为调整号码类型、服务号码、用户标识、终端型号等业务处理逻辑以满足营销活动配置管理需求。</t>
  </si>
  <si>
    <t>家庭预存赠送营销活动渠道信息修改</t>
  </si>
  <si>
    <t>家庭预存赠送营销活动销售规则信息在产商品中心中维护和存储，支持业务人员对数据做维护管理，数据主要字段包括：删除标识、规则状态、适用渠道、更新时间、操作员工号、生效日期等；同时数据提供给存送营销活动配置业务引用。本次涉及调整修改内容为调整相关字段以适配营销活动业务变更需求。</t>
  </si>
  <si>
    <t>家庭预存赠送营销活动销售规则信息</t>
  </si>
  <si>
    <t>作为业务人员，当需要查询家庭预存赠送营销活动销售规则信息时，能够通过此功能查出任务执行编号、号码类型、服务号码、用户标识、地市编码等信息，以便于快速获取营销活动相关信息。本次涉及调整修改内容为优化家庭预存赠送营销活动销售规则信息查询功能。</t>
  </si>
  <si>
    <t>家庭预存赠送营销活动销售规则信息查询</t>
  </si>
  <si>
    <t>作为业务人员，当需要删除家庭预存赠送营销活动销售规则信息时，能够通过此功能删除家庭预存赠送营销活动销售规则信息，以便于清理失效的营销活动配置数据。本次涉及调整修改内容为新增家庭预存赠送营销活动销售规则信息删除处理逻辑，支持通过家庭预存赠送营销活动销售规则信息编号删除指定记录。</t>
  </si>
  <si>
    <t>家庭预存赠送营销活动销售规则信息删除</t>
  </si>
  <si>
    <t>作为业务人员，当需要新增家庭预存赠送营销活动销售规则信息时，能够通过此功能新增家庭预存赠送营销活动销售规则信息，以便于及时配置营销活动相关数据。本次涉及调整修改内容为新增家庭预存赠送营销活动销售规则信息新增处理逻辑，支持编号、名称、类型、状态、操作人员等内容的录入。</t>
  </si>
  <si>
    <t>家庭预存赠送营销活动销售规则信息新增</t>
  </si>
  <si>
    <t>作为业务人员，当需要修改家庭预存赠送营销活动销售规则信息时，能够通过此功能修改家庭预存赠送营销活动销售规则信息，以便于及时更新营销活动相关数据。本次涉及调整修改内容为调整号码类型、服务号码、用户标识、终端型号等业务处理逻辑以满足营销活动配置管理需求。</t>
  </si>
  <si>
    <t>家庭预存赠送营销活动销售规则信息修改</t>
  </si>
  <si>
    <t>家庭预存赠送营销活动信息在产商品中心中维护和存储，支持业务人员对数据做维护管理，数据主要字段包括：生效时间、返还月数、档位类型、档位级别、最低消费、结束日期等；同时数据提供给存送营销活动配置业务引用。本次涉及调整修改内容为调整相关字段以适配营销活动业务变更需求。</t>
  </si>
  <si>
    <t>家庭预存赠送营销活动信息</t>
  </si>
  <si>
    <t>作为业务人员，当需要查询家庭预存赠送营销活动信息时，能够通过此功能查出营销活动编码、营销活动名称、营销活动类型、业务类型、营销活动小类编码等信息，以便于快速获取营销活动相关信息。本次涉及调整修改内容为优化家庭预存赠送营销活动信息查询功能。</t>
  </si>
  <si>
    <t>家庭预存赠送营销活动信息查询</t>
  </si>
  <si>
    <t>作为业务人员，当需要删除家庭预存赠送营销活动信息时，能够通过此功能删除家庭预存赠送营销活动信息，以便于清理失效的营销活动配置数据。本次涉及调整修改内容为新增家庭预存赠送营销活动信息删除处理逻辑，支持通过家庭预存赠送营销活动信息编号删除指定记录。</t>
  </si>
  <si>
    <t>家庭预存赠送营销活动信息删除</t>
  </si>
  <si>
    <t>作为业务人员，当需要新增家庭预存赠送营销活动信息时，能够通过此功能新增家庭预存赠送营销活动信息，以便于及时配置营销活动相关数据。本次涉及调整修改内容为新增家庭预存赠送营销活动信息新增处理逻辑，支持编号、名称、类型、状态、操作人员等内容的录入。</t>
  </si>
  <si>
    <t>家庭预存赠送营销活动信息新增</t>
  </si>
  <si>
    <t>作为业务人员，当需要修改家庭预存赠送营销活动信息时，能够通过此功能修改家庭预存赠送营销活动信息，以便于及时更新营销活动相关数据。本次涉及调整修改内容为调整营销活动名称、营销活动类型、业务类型、营销活动描述信息等业务处理逻辑以满足营销活动配置管理需求。</t>
  </si>
  <si>
    <t>家庭预存赠送营销活动信息修改</t>
  </si>
  <si>
    <t>宽带预存赠送营销活动档位信息在产商品中心中维护和存储，支持业务人员对数据做维护管理，数据主要字段包括：返还金额、开始日期、折扣率、删除标识、最低消费、启用状态等；同时数据提供给存送营销活动配置业务引用。本次涉及调整修改内容为调整相关字段以适配营销活动业务变更需求。</t>
  </si>
  <si>
    <t>宽带预存赠送营销活动档位信息</t>
  </si>
  <si>
    <t>作为业务人员，当需要查询宽带预存赠送营销活动档位信息时，能够通过此功能查出任务执行编号、号码类型、服务号码、用户标识、地市编码等信息，以便于快速获取营销活动相关信息。本次涉及调整修改内容为优化宽带预存赠送营销活动档位信息查询功能。</t>
  </si>
  <si>
    <t>宽带预存赠送营销活动档位信息查询</t>
  </si>
  <si>
    <t>作为业务人员，当需要删除宽带预存赠送营销活动档位信息时，能够通过此功能删除宽带预存赠送营销活动档位信息，以便于清理失效的营销活动配置数据。本次涉及调整修改内容为新增宽带预存赠送营销活动档位信息删除处理逻辑，支持通过宽带预存赠送营销活动档位信息编号删除指定记录。</t>
  </si>
  <si>
    <t>宽带预存赠送营销活动档位信息删除</t>
  </si>
  <si>
    <t>作为业务人员，当需要新增宽带预存赠送营销活动档位信息时，能够通过此功能新增宽带预存赠送营销活动档位信息，以便于及时配置营销活动相关数据。本次涉及调整修改内容为新增宽带预存赠送营销活动档位信息新增处理逻辑，支持编号、名称、类型、状态、操作人员等内容的录入。</t>
  </si>
  <si>
    <t>宽带预存赠送营销活动档位信息新增</t>
  </si>
  <si>
    <t>作为业务人员，当需要修改宽带预存赠送营销活动档位信息时，能够通过此功能修改宽带预存赠送营销活动档位信息，以便于及时更新营销活动相关数据。本次涉及调整修改内容为调整号码类型、服务号码、用户标识、终端型号等业务处理逻辑以满足营销活动配置管理需求。</t>
  </si>
  <si>
    <t>宽带预存赠送营销活动档位信息修改</t>
  </si>
  <si>
    <t>宽带预存赠送营销活动合约信息在产商品中心中维护和存储，支持业务人员对数据做维护管理，数据主要字段包括：是否有效、生效时间、合约结束日期、解约日期、合约编码、状态等；同时数据提供给存送营销活动配置业务引用。本次涉及调整修改内容为调整相关字段以适配营销活动业务变更需求。</t>
  </si>
  <si>
    <t>宽带预存赠送营销活动合约信息</t>
  </si>
  <si>
    <t>作为业务人员，当需要查询宽带预存赠送营销活动合约信息时，能够通过此功能查出任务执行编号、号码类型、服务号码、用户标识、地市编码等信息，以便于快速获取营销活动相关信息。本次涉及调整修改内容为优化宽带预存赠送营销活动合约信息查询功能。</t>
  </si>
  <si>
    <t>宽带预存赠送营销活动合约信息查询</t>
  </si>
  <si>
    <t>作为业务人员，当需要删除宽带预存赠送营销活动合约信息时，能够通过此功能删除宽带预存赠送营销活动合约信息，以便于清理失效的营销活动配置数据。本次涉及调整修改内容为新增宽带预存赠送营销活动合约信息删除处理逻辑，支持通过宽带预存赠送营销活动合约信息编号删除指定记录。</t>
  </si>
  <si>
    <t>宽带预存赠送营销活动合约信息删除</t>
  </si>
  <si>
    <t>作为业务人员，当需要新增宽带预存赠送营销活动合约信息时，能够通过此功能新增宽带预存赠送营销活动合约信息，以便于及时配置营销活动相关数据。本次涉及调整修改内容为新增宽带预存赠送营销活动合约信息新增处理逻辑，支持编号、名称、类型、状态、操作人员等内容的录入。</t>
  </si>
  <si>
    <t>宽带预存赠送营销活动合约信息新增</t>
  </si>
  <si>
    <t>作为业务人员，当需要修改宽带预存赠送营销活动合约信息时，能够通过此功能修改宽带预存赠送营销活动合约信息，以便于及时更新营销活动相关数据。本次涉及调整修改内容为调整号码类型、服务号码、用户标识、终端型号等业务处理逻辑以满足营销活动配置管理需求。</t>
  </si>
  <si>
    <t>宽带预存赠送营销活动合约信息修改</t>
  </si>
  <si>
    <t>宽带预存赠送营销活动渠道信息在产商品中心中维护和存储，支持业务人员对数据做维护管理，数据主要字段包括：描述、标签、负责人电话、成立日期、操作员工号、更新时间等；同时数据提供给存送营销活动配置业务引用。本次涉及调整修改内容为调整相关字段以适配营销活动业务变更需求。</t>
  </si>
  <si>
    <t>宽带预存赠送营销活动渠道信息</t>
  </si>
  <si>
    <t>作为业务人员，当需要查询宽带预存赠送营销活动渠道信息时，能够通过此功能查出任务执行编号、号码类型、服务号码、用户标识、地市编码等信息，以便于快速获取营销活动相关信息。本次涉及调整修改内容为优化宽带预存赠送营销活动渠道信息查询功能。</t>
  </si>
  <si>
    <t>宽带预存赠送营销活动渠道信息查询</t>
  </si>
  <si>
    <t>作为业务人员，当需要删除宽带预存赠送营销活动渠道信息时，能够通过此功能删除宽带预存赠送营销活动渠道信息，以便于清理失效的营销活动配置数据。本次涉及调整修改内容为新增宽带预存赠送营销活动渠道信息删除处理逻辑，支持通过宽带预存赠送营销活动渠道信息编号删除指定记录。</t>
  </si>
  <si>
    <t>宽带预存赠送营销活动渠道信息删除</t>
  </si>
  <si>
    <t>作为业务人员，当需要新增宽带预存赠送营销活动渠道信息时，能够通过此功能新增宽带预存赠送营销活动渠道信息，以便于及时配置营销活动相关数据。本次涉及调整修改内容为新增宽带预存赠送营销活动渠道信息新增处理逻辑，支持编号、名称、类型、状态、操作人员等内容的录入。</t>
  </si>
  <si>
    <t>宽带预存赠送营销活动渠道信息新增</t>
  </si>
  <si>
    <t>作为业务人员，当需要修改宽带预存赠送营销活动渠道信息时，能够通过此功能修改宽带预存赠送营销活动渠道信息，以便于及时更新营销活动相关数据。本次涉及调整修改内容为调整号码类型、服务号码、用户标识、终端型号等业务处理逻辑以满足营销活动配置管理需求。</t>
  </si>
  <si>
    <t>宽带预存赠送营销活动渠道信息修改</t>
  </si>
  <si>
    <t>宽带预存赠送营销活动销售规则信息在产商品中心中维护和存储，支持业务人员对数据做维护管理，数据主要字段包括：删除标识、规则状态、是否有效、排序号、编码、更新时间等；同时数据提供给存送营销活动配置业务引用。本次涉及调整修改内容为调整相关字段以适配营销活动业务变更需求。</t>
  </si>
  <si>
    <t>宽带预存赠送营销活动销售规则信息</t>
  </si>
  <si>
    <t>作为业务人员，当需要查询宽带预存赠送营销活动销售规则信息时，能够通过此功能查出任务执行编号、号码类型、服务号码、用户标识、地市编码等信息，以便于快速获取营销活动相关信息。本次涉及调整修改内容为优化宽带预存赠送营销活动销售规则信息查询功能。</t>
  </si>
  <si>
    <t>宽带预存赠送营销活动销售规则信息查询</t>
  </si>
  <si>
    <t>作为业务人员，当需要删除宽带预存赠送营销活动销售规则信息时，能够通过此功能删除宽带预存赠送营销活动销售规则信息，以便于清理失效的营销活动配置数据。本次涉及调整修改内容为新增宽带预存赠送营销活动销售规则信息删除处理逻辑，支持通过宽带预存赠送营销活动销售规则信息编号删除指定记录。</t>
  </si>
  <si>
    <t>宽带预存赠送营销活动销售规则信息删除</t>
  </si>
  <si>
    <t>作为业务人员，当需要新增宽带预存赠送营销活动销售规则信息时，能够通过此功能新增宽带预存赠送营销活动销售规则信息，以便于及时配置营销活动相关数据。本次涉及调整修改内容为新增宽带预存赠送营销活动销售规则信息新增处理逻辑，支持编号、名称、类型、状态、操作人员等内容的录入。</t>
  </si>
  <si>
    <t>宽带预存赠送营销活动销售规则信息新增</t>
  </si>
  <si>
    <t>作为业务人员，当需要修改宽带预存赠送营销活动销售规则信息时，能够通过此功能修改宽带预存赠送营销活动销售规则信息，以便于及时更新营销活动相关数据。本次涉及调整修改内容为调整号码类型、服务号码、用户标识、终端型号等业务处理逻辑以满足营销活动配置管理需求。</t>
  </si>
  <si>
    <t>宽带预存赠送营销活动销售规则信息修改</t>
  </si>
  <si>
    <t>宽带预存赠送营销活动信息在产商品中心中维护和存储，支持业务人员对数据做维护管理，数据主要字段包括：活动门槛、返还上限、更新人、返还周期、权限级别、创建时间等；同时数据提供给存送营销活动配置业务引用。本次涉及调整修改内容为调整相关字段以适配营销活动业务变更需求。</t>
  </si>
  <si>
    <t>宽带预存赠送营销活动信息</t>
  </si>
  <si>
    <t>作为业务人员，当需要查询宽带预存赠送营销活动信息时，能够通过此功能查出地市编码、渠道类型、用户标识、服务号码、活动编号等信息，以便于快速获取营销活动相关信息。本次涉及调整修改内容为优化宽带预存赠送营销活动信息查询功能。</t>
  </si>
  <si>
    <t>宽带预存赠送营销活动信息查询</t>
  </si>
  <si>
    <t>作为业务人员，当需要删除宽带预存赠送营销活动信息时，能够通过此功能删除宽带预存赠送营销活动信息，以便于清理失效的营销活动配置数据。本次涉及调整修改内容为新增宽带预存赠送营销活动信息删除处理逻辑，支持通过宽带预存赠送营销活动信息编号删除指定记录。</t>
  </si>
  <si>
    <t>宽带预存赠送营销活动信息删除</t>
  </si>
  <si>
    <t>作为业务人员，当需要新增宽带预存赠送营销活动信息时，能够通过此功能新增宽带预存赠送营销活动信息，以便于及时配置营销活动相关数据。本次涉及调整修改内容为新增宽带预存赠送营销活动信息新增处理逻辑，支持编号、名称、类型、状态、操作人员等内容的录入。</t>
  </si>
  <si>
    <t>宽带预存赠送营销活动信息新增</t>
  </si>
  <si>
    <t>作为业务人员，当需要修改宽带预存赠送营销活动信息时，能够通过此功能修改宽带预存赠送营销活动信息，以便于及时更新营销活动相关数据。本次涉及调整修改内容为调整渠道类型、用户标识、服务号码、工单号等业务处理逻辑以满足营销活动配置管理需求。</t>
  </si>
  <si>
    <t>宽带预存赠送营销活动信息修改</t>
  </si>
  <si>
    <t>政企预存赠送营销活动档位信息在产商品中心中维护和存储，支持业务人员对数据做维护管理，数据主要字段包括：操作员工号、编码、短信回复码、最低消费、备注、活动门槛等；同时数据提供给存送营销活动配置业务引用。本次涉及调整修改内容为调整相关字段以适配营销活动业务变更需求。</t>
  </si>
  <si>
    <t>政企预存赠送营销活动档位信息</t>
  </si>
  <si>
    <t>作为业务人员，当需要查询政企预存赠送营销活动档位信息时，能够通过此功能查出任务执行编号、号码类型、服务号码、用户标识、地市编码等信息，以便于快速获取营销活动相关信息。本次涉及调整修改内容为优化政企预存赠送营销活动档位信息查询功能。</t>
  </si>
  <si>
    <t>政企预存赠送营销活动档位信息查询</t>
  </si>
  <si>
    <t>作为业务人员，当需要删除政企预存赠送营销活动档位信息时，能够通过此功能删除政企预存赠送营销活动档位信息，以便于清理失效的营销活动配置数据。本次涉及调整修改内容为新增政企预存赠送营销活动档位信息删除处理逻辑，支持通过政企预存赠送营销活动档位信息编号删除指定记录。</t>
  </si>
  <si>
    <t>政企预存赠送营销活动档位信息删除</t>
  </si>
  <si>
    <t>作为业务人员，当需要新增政企预存赠送营销活动档位信息时，能够通过此功能新增政企预存赠送营销活动档位信息，以便于及时配置营销活动相关数据。本次涉及调整修改内容为新增政企预存赠送营销活动档位信息新增处理逻辑，支持编号、名称、类型、状态、操作人员等内容的录入。</t>
  </si>
  <si>
    <t>政企预存赠送营销活动档位信息新增</t>
  </si>
  <si>
    <t>作为业务人员，当需要修改政企预存赠送营销活动档位信息时，能够通过此功能修改政企预存赠送营销活动档位信息，以便于及时更新营销活动相关数据。本次涉及调整修改内容为调整号码类型、服务号码、用户标识、终端型号等业务处理逻辑以满足营销活动配置管理需求。</t>
  </si>
  <si>
    <t>政企预存赠送营销活动档位信息修改</t>
  </si>
  <si>
    <t>政企预存赠送营销活动合约信息在产商品中心中维护和存储，支持业务人员对数据做维护管理，数据主要字段包括：违约金比例、类型、标签、合约编码、合约结束日期、合约状态等；同时数据提供给存送营销活动配置业务引用。本次涉及调整修改内容为调整相关字段以适配营销活动业务变更需求。</t>
  </si>
  <si>
    <t>政企预存赠送营销活动合约信息</t>
  </si>
  <si>
    <t>作为业务人员，当需要查询政企预存赠送营销活动合约信息时，能够通过此功能查出任务执行编号、号码类型、服务号码、用户标识、地市编码等信息，以便于快速获取营销活动相关信息。本次涉及调整修改内容为优化政企预存赠送营销活动合约信息查询功能。</t>
  </si>
  <si>
    <t>政企预存赠送营销活动合约信息查询</t>
  </si>
  <si>
    <t>作为业务人员，当需要删除政企预存赠送营销活动合约信息时，能够通过此功能删除政企预存赠送营销活动合约信息，以便于清理失效的营销活动配置数据。本次涉及调整修改内容为新增政企预存赠送营销活动合约信息删除处理逻辑，支持通过政企预存赠送营销活动合约信息编号删除指定记录。</t>
  </si>
  <si>
    <t>政企预存赠送营销活动合约信息删除</t>
  </si>
  <si>
    <t>作为业务人员，当需要新增政企预存赠送营销活动合约信息时，能够通过此功能新增政企预存赠送营销活动合约信息，以便于及时配置营销活动相关数据。本次涉及调整修改内容为新增政企预存赠送营销活动合约信息新增处理逻辑，支持编号、名称、类型、状态、操作人员等内容的录入。</t>
  </si>
  <si>
    <t>政企预存赠送营销活动合约信息新增</t>
  </si>
  <si>
    <t>作为业务人员，当需要修改政企预存赠送营销活动合约信息时，能够通过此功能修改政企预存赠送营销活动合约信息，以便于及时更新营销活动相关数据。本次涉及调整修改内容为调整号码类型、服务号码、用户标识、终端型号等业务处理逻辑以满足营销活动配置管理需求。</t>
  </si>
  <si>
    <t>政企预存赠送营销活动合约信息修改</t>
  </si>
  <si>
    <t>政企预存赠送营销活动渠道信息在产商品中心中维护和存储，支持业务人员对数据做维护管理，数据主要字段包括：主键ID、编码、负责人电话、版本号、生效时间、渠道名称等；同时数据提供给存送营销活动配置业务引用。本次涉及调整修改内容为调整相关字段以适配营销活动业务变更需求。</t>
  </si>
  <si>
    <t>政企预存赠送营销活动渠道信息</t>
  </si>
  <si>
    <t>作为业务人员，当需要查询政企预存赠送营销活动渠道信息时，能够通过此功能查出任务执行编号、号码类型、服务号码、用户标识、地市编码等信息，以便于快速获取营销活动相关信息。本次涉及调整修改内容为优化政企预存赠送营销活动渠道信息查询功能。</t>
  </si>
  <si>
    <t>政企预存赠送营销活动渠道信息查询</t>
  </si>
  <si>
    <t>作为业务人员，当需要删除政企预存赠送营销活动渠道信息时，能够通过此功能删除政企预存赠送营销活动渠道信息，以便于清理失效的营销活动配置数据。本次涉及调整修改内容为新增政企预存赠送营销活动渠道信息删除处理逻辑，支持通过政企预存赠送营销活动渠道信息编号删除指定记录。</t>
  </si>
  <si>
    <t>政企预存赠送营销活动渠道信息删除</t>
  </si>
  <si>
    <t>作为业务人员，当需要新增政企预存赠送营销活动渠道信息时，能够通过此功能新增政企预存赠送营销活动渠道信息，以便于及时配置营销活动相关数据。本次涉及调整修改内容为新增政企预存赠送营销活动渠道信息新增处理逻辑，支持编号、名称、类型、状态、操作人员等内容的录入。</t>
  </si>
  <si>
    <t>政企预存赠送营销活动渠道信息新增</t>
  </si>
  <si>
    <t>作为业务人员，当需要修改政企预存赠送营销活动渠道信息时，能够通过此功能修改政企预存赠送营销活动渠道信息，以便于及时更新营销活动相关数据。本次涉及调整修改内容为调整号码类型、服务号码、用户标识、终端型号等业务处理逻辑以满足营销活动配置管理需求。</t>
  </si>
  <si>
    <t>政企预存赠送营销活动渠道信息修改</t>
  </si>
  <si>
    <t>政企预存赠送营销活动销售规则信息在产商品中心中维护和存储，支持业务人员对数据做维护管理，数据主要字段包括：备注、操作员工号、标签、规则标签、删除标识、更新时间等；同时数据提供给存送营销活动配置业务引用。本次涉及调整修改内容为调整相关字段以适配营销活动业务变更需求。</t>
  </si>
  <si>
    <t>政企预存赠送营销活动销售规则信息</t>
  </si>
  <si>
    <t>作为业务人员，当需要查询政企预存赠送营销活动销售规则信息时，能够通过此功能查出任务执行编号、号码类型、服务号码、用户标识、地市编码等信息，以便于快速获取营销活动相关信息。本次涉及调整修改内容为优化政企预存赠送营销活动销售规则信息查询功能。</t>
  </si>
  <si>
    <t>政企预存赠送营销活动销售规则信息查询</t>
  </si>
  <si>
    <t>作为业务人员，当需要删除政企预存赠送营销活动销售规则信息时，能够通过此功能删除政企预存赠送营销活动销售规则信息，以便于清理失效的营销活动配置数据。本次涉及调整修改内容为新增政企预存赠送营销活动销售规则信息删除处理逻辑，支持通过政企预存赠送营销活动销售规则信息编号删除指定记录。</t>
  </si>
  <si>
    <t>政企预存赠送营销活动销售规则信息删除</t>
  </si>
  <si>
    <t>作为业务人员，当需要新增政企预存赠送营销活动销售规则信息时，能够通过此功能新增政企预存赠送营销活动销售规则信息，以便于及时配置营销活动相关数据。本次涉及调整修改内容为新增政企预存赠送营销活动销售规则信息新增处理逻辑，支持编号、名称、类型、状态、操作人员等内容的录入。</t>
  </si>
  <si>
    <t>政企预存赠送营销活动销售规则信息新增</t>
  </si>
  <si>
    <t>作为业务人员，当需要修改政企预存赠送营销活动销售规则信息时，能够通过此功能修改政企预存赠送营销活动销售规则信息，以便于及时更新营销活动相关数据。本次涉及调整修改内容为调整号码类型、服务号码、用户标识、终端型号等业务处理逻辑以满足营销活动配置管理需求。</t>
  </si>
  <si>
    <t>政企预存赠送营销活动销售规则信息修改</t>
  </si>
  <si>
    <t>政企预存赠送营销活动信息在产商品中心中维护和存储，支持业务人员对数据做维护管理，数据主要字段包括：权限级别、统一活动编码、优惠折扣、操作员工号、活动编码、类型等；同时数据提供给存送营销活动配置业务引用。本次涉及调整修改内容为调整相关字段以适配营销活动业务变更需求。</t>
  </si>
  <si>
    <t>政企预存赠送营销活动信息</t>
  </si>
  <si>
    <t>作为业务人员，当需要查询政企预存赠送营销活动信息时，能够通过此功能查出地市编码、渠道类型、用户标识、服务号码、活动编号等信息，以便于快速获取营销活动相关信息。本次涉及调整修改内容为优化政企预存赠送营销活动信息查询功能。</t>
  </si>
  <si>
    <t>政企预存赠送营销活动信息查询</t>
  </si>
  <si>
    <t>作为业务人员，当需要删除政企预存赠送营销活动信息时，能够通过此功能删除政企预存赠送营销活动信息，以便于清理失效的营销活动配置数据。本次涉及调整修改内容为新增政企预存赠送营销活动信息删除处理逻辑，支持通过政企预存赠送营销活动信息编号删除指定记录。</t>
  </si>
  <si>
    <t>政企预存赠送营销活动信息删除</t>
  </si>
  <si>
    <t>作为业务人员，当需要新增政企预存赠送营销活动信息时，能够通过此功能新增政企预存赠送营销活动信息，以便于及时配置营销活动相关数据。本次涉及调整修改内容为新增政企预存赠送营销活动信息新增处理逻辑，支持编号、名称、类型、状态、操作人员等内容的录入。</t>
  </si>
  <si>
    <t>政企预存赠送营销活动信息新增</t>
  </si>
  <si>
    <t>作为业务人员，当需要修改政企预存赠送营销活动信息时，能够通过此功能修改政企预存赠送营销活动信息，以便于及时更新营销活动相关数据。本次涉及调整修改内容为调整渠道类型、用户标识、服务号码、工单号等业务处理逻辑以满足营销活动配置管理需求。</t>
  </si>
  <si>
    <t>政企预存赠送营销活动信息修改</t>
  </si>
  <si>
    <t>预存赠送营销活动审批信息在产商品中心中维护和存储，支持业务人员对数据做维护管理，数据主要字段包括：审批流水、创建人、备注、失效时间、创建时间、类型等；同时数据提供给营销活动审批流程管理业务引用。本次涉及调整修改内容为调整相关字段以适配营销活动业务变更需求。</t>
  </si>
  <si>
    <t>预存赠送营销活动审批信息</t>
  </si>
  <si>
    <t>作为业务人员，当需要查看预存赠送营销活动审批信息报表时，能够通过此功能查看预存赠送营销活动审批信息报表数据，以便于及时了解营销活动审批情况。本次涉及调整修改内容为调整报表统计业务处理逻辑。</t>
  </si>
  <si>
    <t>预存赠送营销活动审批信息报表</t>
  </si>
  <si>
    <t>作为业务人员，当需要查询预存赠送营销活动审批信息时，能够通过此功能查出审批流水、业务编号、业务类型、业务操作人工号、业务操作时间等信息，以便于快速获取营销活动相关信息。本次涉及调整修改内容为优化预存赠送营销活动审批信息查询功能。</t>
  </si>
  <si>
    <t>预存赠送营销活动审批信息查询</t>
  </si>
  <si>
    <t>作为业务人员，当需要删除预存赠送营销活动审批信息时，能够通过此功能删除预存赠送营销活动审批信息，以便于清理失效的营销活动配置数据。本次涉及调整修改内容为新增预存赠送营销活动审批信息删除处理逻辑，支持通过预存赠送营销活动审批信息编号删除指定记录。</t>
  </si>
  <si>
    <t>预存赠送营销活动审批信息删除</t>
  </si>
  <si>
    <t>作为业务人员，当需要新增预存赠送营销活动审批信息时，能够通过此功能新增预存赠送营销活动审批信息，以便于及时配置营销活动相关数据。本次涉及调整修改内容为新增预存赠送营销活动审批信息新增处理逻辑，支持编号、名称、类型、状态、操作人员等内容的录入。</t>
  </si>
  <si>
    <t>预存赠送营销活动审批信息新增</t>
  </si>
  <si>
    <t>作为业务人员，当需要修改预存赠送营销活动审批信息时，能够通过此功能修改预存赠送营销活动审批信息，以便于及时更新营销活动相关数据。本次涉及调整修改内容为调整业务类型、业务操作人工号、业务操作时间、审批描述信息等业务处理逻辑以满足营销活动配置管理需求。</t>
  </si>
  <si>
    <t>预存赠送营销活动审批信息修改</t>
  </si>
  <si>
    <t>预存赠送营销活动核查信息在产商品中心中维护和存储，支持业务人员对数据做维护管理，数据主要字段包括：更新时间、验证时间、业务编码、业务名称、验证结果、编码等，本次涉及调整修改内容为预存赠送营销活动验证信息等；同时数据提供给营销活动信息核查业务引用。本次涉及调整修改内容为调整相关字段以适配营销活动业务变更需求。</t>
  </si>
  <si>
    <t>预存赠送营销活动核查信息</t>
  </si>
  <si>
    <t>作为业务人员，当需要查询预存赠送营销活动核查信息时，能够通过此功能查出地市编码、渠道类型、用户标识、服务号码、活动编号等信息，以便于快速获取营销活动相关信息。本次涉及调整修改内容为优化预存赠送营销活动核查信息查询功能。</t>
  </si>
  <si>
    <t>预存赠送营销活动核查信息查询</t>
  </si>
  <si>
    <t>作为业务人员，当需要删除预存赠送营销活动核查信息时，能够通过此功能删除预存赠送营销活动核查信息，以便于清理失效的营销活动配置数据。本次涉及调整修改内容为新增预存赠送营销活动核查信息删除处理逻辑，支持通过预存赠送营销活动验证信息编号删除指定记录。</t>
  </si>
  <si>
    <t>预存赠送营销活动核查信息删除</t>
  </si>
  <si>
    <t>作为业务人员，当需要新增预存赠送营销活动核查信息时，能够通过此功能新增预存赠送营销活动核查信息，以便于及时配置营销活动相关数据。本次涉及调整修改内容为新增预存赠送营销活动核查信息新增处理逻辑，支持编号、名称、类型、状态、操作人员等内容的录入。</t>
  </si>
  <si>
    <t>预存赠送营销活动核查信息新增</t>
  </si>
  <si>
    <t>预存赠送营销模板信息在产商品中心中维护和存储，支持业务人员对数据做维护管理，数据主要字段包括：用户标识、服务号码、活动编码、活动名称、方式编码、方式名称、开始日期、结束日期、金额、操作员工号等；同时数据提供给营销活动模板配置业务引用。本次涉及调整修改内容为调整相关字段以适配营销活动业务变更需求。</t>
  </si>
  <si>
    <t>预存赠送营销模板信息</t>
  </si>
  <si>
    <t>作为业务人员，当需要查询预存赠送营销模板信息时，能够通过此功能查出用户标识、服务号码、活动编码、活动名称、方式编码等信息，以便于快速获取营销活动相关信息。本次涉及调整修改内容为优化预存赠送营销模板信息查询功能。</t>
  </si>
  <si>
    <t>预存赠送营销模板信息查询</t>
  </si>
  <si>
    <t>作为业务人员，当需要删除预存赠送营销模板信息时，能够通过此功能删除预存赠送营销模板信息，以便于清理失效的营销活动配置数据。本次涉及调整修改内容为新增预存赠送营销模板信息删除处理逻辑，支持通过预存赠送营销模板信息编号删除指定记录。</t>
  </si>
  <si>
    <t>预存赠送营销模板信息删除</t>
  </si>
  <si>
    <t>作为业务人员，当需要新增预存赠送营销模板信息时，能够通过此功能新增预存赠送营销模板信息，以便于及时配置营销活动相关数据。本次涉及调整修改内容为新增预存赠送营销模板信息新增处理逻辑，支持编号、名称、类型、状态、操作人员等内容的录入。</t>
  </si>
  <si>
    <t>预存赠送营销模板信息新增</t>
  </si>
  <si>
    <t>作为业务人员，当需要修改预存赠送营销模板信息时，能够通过此功能修改预存赠送营销模板信息，以便于及时更新营销活动相关数据。本次涉及调整修改内容为调整用户标识、服务号码、活动名称、方式名称等业务处理逻辑以满足营销活动配置管理需求。</t>
  </si>
  <si>
    <t>预存赠送营销模板信息修改</t>
  </si>
  <si>
    <t>赠送积分营销活动档位信息在产商品中心中维护和存储，支持业务人员对数据做维护管理，数据主要字段包括：启用状态、档位编码、返还上限、描述、编码、档位状态等；同时数据提供给营销活动配置管理业务引用。本次涉及调整修改内容为调整相关字段以适配营销活动业务变更需求。</t>
  </si>
  <si>
    <t>赠送积分营销活动档位信息</t>
  </si>
  <si>
    <t>作为业务人员，当需要查询赠送积分营销活动档位信息时，能够通过此功能查出营销活动档位编码、营销活动档位名称、活动编码、是否有效、开始日期等信息，以便于快速获取营销活动相关信息。本次涉及调整修改内容为优化赠送积分营销活动档位信息查询功能。</t>
  </si>
  <si>
    <t>赠送积分营销活动档位信息查询</t>
  </si>
  <si>
    <t>作为业务人员，当需要删除赠送积分营销活动档位信息时，能够通过此功能删除赠送积分营销活动档位信息，以便于清理失效的营销活动配置数据。本次涉及调整修改内容为新增赠送积分营销活动档位信息删除处理逻辑，支持通过赠送积分营销活动档位信息编号删除指定记录。</t>
  </si>
  <si>
    <t>赠送积分营销活动档位信息删除</t>
  </si>
  <si>
    <t>作为业务人员，当需要新增赠送积分营销活动档位信息时，能够通过此功能新增赠送积分营销活动档位信息，以便于及时配置营销活动相关数据。本次涉及调整修改内容为新增赠送积分营销活动档位信息新增处理逻辑，支持编号、名称、类型、状态、操作人员等内容的录入。</t>
  </si>
  <si>
    <t>赠送积分营销活动档位信息新增</t>
  </si>
  <si>
    <t>作为业务人员，当需要修改赠送积分营销活动档位信息时，能够通过此功能修改赠送积分营销活动档位信息，以便于及时更新营销活动相关数据。本次涉及调整修改内容为调整营销活动档位名称、是否有效、开始日期、结束日期等业务处理逻辑以满足营销活动配置管理需求。</t>
  </si>
  <si>
    <t>赠送积分营销活动档位信息修改</t>
  </si>
  <si>
    <t>赠送积分营销活动合约信息在产商品中心中维护和存储，支持业务人员对数据做维护管理，数据主要字段包括：解约日期、合约类型、排序号、用户标识、标签、删除标识等；同时数据提供给营销活动配置管理业务引用。本次涉及调整修改内容为调整相关字段以适配营销活动业务变更需求。</t>
  </si>
  <si>
    <t>赠送积分营销活动合约信息</t>
  </si>
  <si>
    <t>作为业务人员，当需要查询赠送积分营销活动合约信息时，能够通过此功能查出业务编码、业务类型、分配源、分配目标、区县等信息，以便于快速获取营销活动相关信息。本次涉及调整修改内容为优化赠送积分营销活动合约信息查询功能。</t>
  </si>
  <si>
    <t>赠送积分营销活动合约信息查询</t>
  </si>
  <si>
    <t>作为业务人员，当需要删除赠送积分营销活动合约信息时，能够通过此功能删除赠送积分营销活动合约信息，以便于清理失效的营销活动配置数据。本次涉及调整修改内容为新增赠送积分营销活动合约信息删除处理逻辑，支持通过赠送积分营销活动合约信息编号删除指定记录。</t>
  </si>
  <si>
    <t>赠送积分营销活动合约信息删除</t>
  </si>
  <si>
    <t>作为业务人员，当需要新增赠送积分营销活动合约信息时，能够通过此功能新增赠送积分营销活动合约信息，以便于及时配置营销活动相关数据。本次涉及调整修改内容为新增赠送积分营销活动合约信息新增处理逻辑，支持编号、名称、类型、状态、操作人员等内容的录入。</t>
  </si>
  <si>
    <t>赠送积分营销活动合约信息新增</t>
  </si>
  <si>
    <t>作为业务人员，当需要修改赠送积分营销活动合约信息时，能够通过此功能修改赠送积分营销活动合约信息，以便于及时更新营销活动相关数据。本次涉及调整修改内容为调整业务类型、分配源、分配目标、区县等业务处理逻辑以满足营销活动配置管理需求。</t>
  </si>
  <si>
    <t>赠送积分营销活动合约信息修改</t>
  </si>
  <si>
    <t>赠送积分营销活动渠道信息在产商品中心中维护和存储，支持业务人员对数据做维护管理，数据主要字段包括：渠道分组、负责人电话、生效时间、是否启用、渠道编码、备注等；同时数据提供给营销活动配置管理业务引用。本次涉及调整修改内容为调整相关字段以适配营销活动业务变更需求。</t>
  </si>
  <si>
    <t>赠送积分营销活动渠道信息</t>
  </si>
  <si>
    <t>作为业务人员，当需要查询赠送积分营销活动渠道信息时，能够通过此功能查出业务编码、业务类型、分配源、分配目标、区县等信息，以便于快速获取营销活动相关信息。本次涉及调整修改内容为优化赠送积分营销活动渠道信息查询功能。</t>
  </si>
  <si>
    <t>赠送积分营销活动渠道信息查询</t>
  </si>
  <si>
    <t>作为业务人员，当需要删除赠送积分营销活动渠道信息时，能够通过此功能删除赠送积分营销活动渠道信息，以便于清理失效的营销活动配置数据。本次涉及调整修改内容为新增赠送积分营销活动渠道信息删除处理逻辑，支持通过赠送积分营销活动渠道信息编号删除指定记录。</t>
  </si>
  <si>
    <t>赠送积分营销活动渠道信息删除</t>
  </si>
  <si>
    <t>作为业务人员，当需要新增赠送积分营销活动渠道信息时，能够通过此功能新增赠送积分营销活动渠道信息，以便于及时配置营销活动相关数据。本次涉及调整修改内容为新增赠送积分营销活动渠道信息新增处理逻辑，支持编号、名称、类型、状态、操作人员等内容的录入。</t>
  </si>
  <si>
    <t>赠送积分营销活动渠道信息新增</t>
  </si>
  <si>
    <t>作为业务人员，当需要修改赠送积分营销活动渠道信息时，能够通过此功能修改赠送积分营销活动渠道信息，以便于及时更新营销活动相关数据。本次涉及调整修改内容为调整业务类型、分配源、分配目标、区县等业务处理逻辑以满足营销活动配置管理需求。</t>
  </si>
  <si>
    <t>赠送积分营销活动渠道信息修改</t>
  </si>
  <si>
    <t>赠送积分营销活动销售规则信息在产商品中心中维护和存储，支持业务人员对数据做维护管理，数据主要字段包括：适用渠道、名称、执行条件、排序号、主键ID、规则版本等；同时数据提供给营销活动配置管理业务引用。本次涉及调整修改内容为调整相关字段以适配营销活动业务变更需求。</t>
  </si>
  <si>
    <t>赠送积分营销活动销售规则信息</t>
  </si>
  <si>
    <t>作为业务人员，当需要查询赠送积分营销活动销售规则信息时，能够通过此功能查出任务执行编号、号码类型、服务号码、用户标识、地市编码等信息，以便于快速获取营销活动相关信息。本次涉及调整修改内容为优化赠送积分营销活动销售规则信息查询功能。</t>
  </si>
  <si>
    <t>赠送积分营销活动销售规则信息查询</t>
  </si>
  <si>
    <t>作为业务人员，当需要删除赠送积分营销活动销售规则信息时，能够通过此功能删除赠送积分营销活动销售规则信息，以便于清理失效的营销活动配置数据。本次涉及调整修改内容为新增赠送积分营销活动销售规则信息删除处理逻辑，支持通过赠送积分营销活动销售规则信息编号删除指定记录。</t>
  </si>
  <si>
    <t>赠送积分营销活动销售规则信息删除</t>
  </si>
  <si>
    <t>作为业务人员，当需要新增赠送积分营销活动销售规则信息时，能够通过此功能新增赠送积分营销活动销售规则信息，以便于及时配置营销活动相关数据。本次涉及调整修改内容为新增赠送积分营销活动销售规则信息新增处理逻辑，支持编号、名称、类型、状态、操作人员等内容的录入。</t>
  </si>
  <si>
    <t>赠送积分营销活动销售规则信息新增</t>
  </si>
  <si>
    <t>作为业务人员，当需要修改赠送积分营销活动销售规则信息时，能够通过此功能修改赠送积分营销活动销售规则信息，以便于及时更新营销活动相关数据。本次涉及调整修改内容为调整号码类型、服务号码、用户标识、终端型号等业务处理逻辑以满足营销活动配置管理需求。</t>
  </si>
  <si>
    <t>赠送积分营销活动销售规则信息修改</t>
  </si>
  <si>
    <t>赠送积分营销活动信息在产商品中心中维护和存储，支持业务人员对数据做维护管理，数据主要字段包括：返还金额、删除标识、优惠折扣、档位级别、返还比例、优惠金额等；同时数据提供给营销活动配置管理业务引用。本次涉及调整修改内容为调整相关字段以适配营销活动业务变更需求。</t>
  </si>
  <si>
    <t>赠送积分营销活动信息</t>
  </si>
  <si>
    <t>作为业务人员，当需要查询赠送积分营销活动信息时，能够通过此功能查出营销活动编码、营销活动名称、营销活动类型、业务类型、营销活动小类编码等信息，以便于快速获取营销活动相关信息。本次涉及调整修改内容为优化赠送积分营销活动信息查询功能。</t>
  </si>
  <si>
    <t>赠送积分营销活动信息查询</t>
  </si>
  <si>
    <t>作为业务人员，当需要删除赠送积分营销活动信息时，能够通过此功能删除赠送积分营销活动信息，以便于清理失效的营销活动配置数据。本次涉及调整修改内容为新增赠送积分营销活动信息删除处理逻辑，支持通过赠送积分营销活动信息编号删除指定记录。</t>
  </si>
  <si>
    <t>赠送积分营销活动信息删除</t>
  </si>
  <si>
    <t>作为业务人员，当需要新增赠送积分营销活动信息时，能够通过此功能新增赠送积分营销活动信息，以便于及时配置营销活动相关数据。本次涉及调整修改内容为新增赠送积分营销活动信息新增处理逻辑，支持编号、名称、类型、状态、操作人员等内容的录入。</t>
  </si>
  <si>
    <t>赠送积分营销活动信息新增</t>
  </si>
  <si>
    <t>作为业务人员，当需要修改赠送积分营销活动信息时，能够通过此功能修改赠送积分营销活动信息，以便于及时更新营销活动相关数据。本次涉及调整修改内容为调整营销活动名称、营销活动类型、业务类型、营销活动描述信息等业务处理逻辑以满足营销活动配置管理需求。</t>
  </si>
  <si>
    <t>赠送积分营销活动信息修改</t>
  </si>
  <si>
    <t>赠送积分营销活动审批信息在产商品中心中维护和存储，支持业务人员对数据做维护管理，数据主要字段包括：审批时间、生效时间、备注、审批意见、状态、审批结果等；同时数据提供给营销活动审批流程管理业务引用。本次涉及调整修改内容为调整相关字段以适配营销活动业务变更需求。</t>
  </si>
  <si>
    <t>赠送积分营销活动审批信息</t>
  </si>
  <si>
    <t>作为业务人员，当需要查看赠送积分营销活动审批信息报表时，能够通过此功能查看赠送积分营销活动审批信息报表数据，以便于及时了解营销活动审批情况。本次涉及调整修改内容为调整报表统计业务处理逻辑。</t>
  </si>
  <si>
    <t>赠送积分营销活动审批信息报表</t>
  </si>
  <si>
    <t>作为业务人员，当需要查询赠送积分营销活动审批信息时，能够通过此功能查出审批流水、业务编号、业务类型、业务操作人工号、业务操作时间等信息，以便于快速获取营销活动相关信息。本次涉及调整修改内容为优化赠送积分营销活动审批信息查询功能。</t>
  </si>
  <si>
    <t>赠送积分营销活动审批信息查询</t>
  </si>
  <si>
    <t>作为业务人员，当需要删除赠送积分营销活动审批信息时，能够通过此功能删除赠送积分营销活动审批信息，以便于清理失效的营销活动配置数据。本次涉及调整修改内容为新增赠送积分营销活动审批信息删除处理逻辑，支持通过赠送积分营销活动审批信息编号删除指定记录。</t>
  </si>
  <si>
    <t>赠送积分营销活动审批信息删除</t>
  </si>
  <si>
    <t>作为业务人员，当需要新增赠送积分营销活动审批信息时，能够通过此功能新增赠送积分营销活动审批信息，以便于及时配置营销活动相关数据。本次涉及调整修改内容为新增赠送积分营销活动审批信息新增处理逻辑，支持编号、名称、类型、状态、操作人员等内容的录入。</t>
  </si>
  <si>
    <t>赠送积分营销活动审批信息新增</t>
  </si>
  <si>
    <t>作为业务人员，当需要修改赠送积分营销活动审批信息时，能够通过此功能修改赠送积分营销活动审批信息，以便于及时更新营销活动相关数据。本次涉及调整修改内容为调整业务类型、业务操作人工号、业务操作时间、审批描述信息等业务处理逻辑以满足营销活动配置管理需求。</t>
  </si>
  <si>
    <t>赠送积分营销活动审批信息修改</t>
  </si>
  <si>
    <t>赠送积分营销活动核查信息在产商品中心中维护和存储，支持业务人员对数据做维护管理，数据主要字段包括：创建时间、验证类型、验证时间、验证渠道、验证编码、是否有效等，本次涉及调整修改内容为赠送积分营销活动验证信息等；同时数据提供给营销活动信息核查业务引用。本次涉及调整修改内容为调整相关字段以适配营销活动业务变更需求。</t>
  </si>
  <si>
    <t>赠送积分营销活动核查信息</t>
  </si>
  <si>
    <t>作为业务人员，当需要查询赠送积分营销活动核查信息时，能够通过此功能查出业务编码、业务类型、分配源、分配目标、区县等信息，以便于快速获取营销活动相关信息。本次涉及调整修改内容为优化赠送积分营销活动核查信息查询功能。</t>
  </si>
  <si>
    <t>赠送积分营销活动核查信息查询</t>
  </si>
  <si>
    <t>作为业务人员，当需要删除赠送积分营销活动核查信息时，能够通过此功能删除赠送积分营销活动核查信息，以便于清理失效的营销活动配置数据。本次涉及调整修改内容为新增赠送积分营销活动核查信息删除处理逻辑，支持通过赠送积分营销活动验证信息编号删除指定记录。</t>
  </si>
  <si>
    <t>赠送积分营销活动核查信息删除</t>
  </si>
  <si>
    <t>作为业务人员，当需要新增赠送积分营销活动核查信息时，能够通过此功能新增赠送积分营销活动核查信息，以便于及时配置营销活动相关数据。本次涉及调整修改内容为新增赠送积分营销活动核查信息新增处理逻辑，支持编号、名称、类型、状态、操作人员等内容的录入。</t>
  </si>
  <si>
    <t>赠送积分营销活动核查信息新增</t>
  </si>
  <si>
    <t>赠送积分营销模板信息在产商品中心中维护和存储，支持业务人员对数据做维护管理，数据主要字段包括：活动名称、主键ID、组织编码、是否有效、是否启用、更新人等；同时数据提供给营销活动模板配置业务引用。本次涉及调整修改内容为调整相关字段以适配营销活动业务变更需求。</t>
  </si>
  <si>
    <t>赠送积分营销模板信息</t>
  </si>
  <si>
    <t>作为业务人员，当需要查询赠送积分营销模板信息时，能够通过此功能查出业务编码、业务类型、分配源、分配目标、区县等信息，以便于快速获取营销活动相关信息。本次涉及调整修改内容为优化赠送积分营销模板信息查询功能。</t>
  </si>
  <si>
    <t>赠送积分营销模板信息查询</t>
  </si>
  <si>
    <t>作为业务人员，当需要删除赠送积分营销模板信息时，能够通过此功能删除赠送积分营销模板信息，以便于清理失效的营销活动配置数据。本次涉及调整修改内容为新增赠送积分营销模板信息删除处理逻辑，支持通过赠送积分营销模板信息编号删除指定记录。</t>
  </si>
  <si>
    <t>赠送积分营销模板信息删除</t>
  </si>
  <si>
    <t>作为业务人员，当需要新增赠送积分营销模板信息时，能够通过此功能新增赠送积分营销模板信息，以便于及时配置营销活动相关数据。本次涉及调整修改内容为新增赠送积分营销模板信息新增处理逻辑，支持编号、名称、类型、状态、操作人员等内容的录入。</t>
  </si>
  <si>
    <t>赠送积分营销模板信息新增</t>
  </si>
  <si>
    <t>作为业务人员，当需要修改赠送积分营销模板信息时，能够通过此功能修改赠送积分营销模板信息，以便于及时更新营销活动相关数据。本次涉及调整修改内容为调整业务类型、分配源、分配目标、区县等业务处理逻辑以满足营销活动配置管理需求。</t>
  </si>
  <si>
    <t>赠送积分营销模板信息修改</t>
  </si>
  <si>
    <t>赠送礼品营销活动档位信息在产商品中心中维护和存储，支持业务人员对数据做维护管理，数据主要字段包括：更新人、排序号、优惠折扣、返还月数、活动编码、类型等；同时数据提供给营销活动配置管理业务引用。本次涉及调整修改内容为调整相关字段以适配营销活动业务变更需求。</t>
  </si>
  <si>
    <t>赠送礼品营销活动档位信息</t>
  </si>
  <si>
    <t>作为业务人员，当需要查询赠送礼品营销活动档位信息时，能够通过此功能查出营销活动档位编码、营销活动档位名称、活动编码、是否有效、开始日期等信息，以便于快速获取营销活动相关信息。本次涉及调整修改内容为优化赠送礼品营销活动档位信息查询功能。</t>
  </si>
  <si>
    <t>赠送礼品营销活动档位信息查询</t>
  </si>
  <si>
    <t>作为业务人员，当需要删除赠送礼品营销活动档位信息时，能够通过此功能删除赠送礼品营销活动档位信息，以便于清理失效的营销活动配置数据。本次涉及调整修改内容为新增赠送礼品营销活动档位信息删除处理逻辑，支持通过赠送礼品营销活动档位信息编号删除指定记录。</t>
  </si>
  <si>
    <t>赠送礼品营销活动档位信息删除</t>
  </si>
  <si>
    <t>作为业务人员，当需要新增赠送礼品营销活动档位信息时，能够通过此功能新增赠送礼品营销活动档位信息，以便于及时配置营销活动相关数据。本次涉及调整修改内容为新增赠送礼品营销活动档位信息新增处理逻辑，支持编号、名称、类型、状态、操作人员等内容的录入。</t>
  </si>
  <si>
    <t>赠送礼品营销活动档位信息新增</t>
  </si>
  <si>
    <t>作为业务人员，当需要修改赠送礼品营销活动档位信息时，能够通过此功能修改赠送礼品营销活动档位信息，以便于及时更新营销活动相关数据。本次涉及调整修改内容为调整营销活动档位名称、是否有效、开始日期、结束日期等业务处理逻辑以满足营销活动配置管理需求。</t>
  </si>
  <si>
    <t>赠送礼品营销活动档位信息修改</t>
  </si>
  <si>
    <t>赠送礼品营销活动合约信息在产商品中心中维护和存储，支持业务人员对数据做维护管理，数据主要字段包括：失效时间、是否启用、创建时间、状态、编码、备注等；同时数据提供给营销活动配置管理业务引用。本次涉及调整修改内容为调整相关字段以适配营销活动业务变更需求。</t>
  </si>
  <si>
    <t>赠送礼品营销活动合约信息</t>
  </si>
  <si>
    <t>作为业务人员，当需要查询赠送礼品营销活动合约信息时，能够通过此功能查出任务执行编号、号码类型、服务号码、用户标识、地市编码等信息，以便于快速获取营销活动相关信息。本次涉及调整修改内容为优化赠送礼品营销活动合约信息查询功能。</t>
  </si>
  <si>
    <t>赠送礼品营销活动合约信息查询</t>
  </si>
  <si>
    <t>作为业务人员，当需要删除赠送礼品营销活动合约信息时，能够通过此功能删除赠送礼品营销活动合约信息，以便于清理失效的营销活动配置数据。本次涉及调整修改内容为新增赠送礼品营销活动合约信息删除处理逻辑，支持通过赠送礼品营销活动合约信息编号删除指定记录。</t>
  </si>
  <si>
    <t>赠送礼品营销活动合约信息删除</t>
  </si>
  <si>
    <t>作为业务人员，当需要新增赠送礼品营销活动合约信息时，能够通过此功能新增赠送礼品营销活动合约信息，以便于及时配置营销活动相关数据。本次涉及调整修改内容为新增赠送礼品营销活动合约信息新增处理逻辑，支持编号、名称、类型、状态、操作人员等内容的录入。</t>
  </si>
  <si>
    <t>赠送礼品营销活动合约信息新增</t>
  </si>
  <si>
    <t>作为业务人员，当需要修改赠送礼品营销活动合约信息时，能够通过此功能修改赠送礼品营销活动合约信息，以便于及时更新营销活动相关数据。本次涉及调整修改内容为调整号码类型、服务号码、用户标识、礼品信息等业务处理逻辑以满足营销活动配置管理需求。</t>
  </si>
  <si>
    <t>赠送礼品营销活动合约信息修改</t>
  </si>
  <si>
    <t>赠送礼品营销活动渠道信息在产商品中心中维护和存储，支持业务人员对数据做维护管理，数据主要字段包括：更新时间、编码、上级渠道、负责人电话、手机号码、成立日期等；同时数据提供给营销活动配置管理业务引用。本次涉及调整修改内容为调整相关字段以适配营销活动业务变更需求。</t>
  </si>
  <si>
    <t>赠送礼品营销活动渠道信息</t>
  </si>
  <si>
    <t>作为业务人员，当需要查询赠送礼品营销活动渠道信息时，能够通过此功能查出任务执行编号、号码类型、服务号码、用户标识、地市编码等信息，以便于快速获取营销活动相关信息。本次涉及调整修改内容为优化赠送礼品营销活动渠道信息查询功能。</t>
  </si>
  <si>
    <t>赠送礼品营销活动渠道信息查询</t>
  </si>
  <si>
    <t>作为业务人员，当需要删除赠送礼品营销活动渠道信息时，能够通过此功能删除赠送礼品营销活动渠道信息，以便于清理失效的营销活动配置数据。本次涉及调整修改内容为新增赠送礼品营销活动渠道信息删除处理逻辑，支持通过赠送礼品营销活动渠道信息编号删除指定记录。</t>
  </si>
  <si>
    <t>赠送礼品营销活动渠道信息删除</t>
  </si>
  <si>
    <t>作为业务人员，当需要新增赠送礼品营销活动渠道信息时，能够通过此功能新增赠送礼品营销活动渠道信息，以便于及时配置营销活动相关数据。本次涉及调整修改内容为新增赠送礼品营销活动渠道信息新增处理逻辑，支持编号、名称、类型、状态、操作人员等内容的录入。</t>
  </si>
  <si>
    <t>赠送礼品营销活动渠道信息新增</t>
  </si>
  <si>
    <t>作为业务人员，当需要修改赠送礼品营销活动渠道信息时，能够通过此功能修改赠送礼品营销活动渠道信息，以便于及时更新营销活动相关数据。本次涉及调整修改内容为调整号码类型、服务号码、用户标识、礼品信息等业务处理逻辑以满足营销活动配置管理需求。</t>
  </si>
  <si>
    <t>赠送礼品营销活动渠道信息修改</t>
  </si>
  <si>
    <t>赠送礼品营销活动销售规则信息在产商品中心中维护和存储，支持业务人员对数据做维护管理，数据主要字段包括：标签、是否启用、规则类型、名称、业务类型、优先级等；同时数据提供给营销活动配置管理业务引用。本次涉及调整修改内容为调整相关字段以适配营销活动业务变更需求。</t>
  </si>
  <si>
    <t>赠送礼品营销活动销售规则信息</t>
  </si>
  <si>
    <t>作为业务人员，当需要查询赠送礼品营销活动销售规则信息时，能够通过此功能查出任务执行编号、号码类型、服务号码、用户标识、地市编码等信息，以便于快速获取营销活动相关信息。本次涉及调整修改内容为优化赠送礼品营销活动销售规则信息查询功能。</t>
  </si>
  <si>
    <t>赠送礼品营销活动销售规则信息查询</t>
  </si>
  <si>
    <t>作为业务人员，当需要删除赠送礼品营销活动销售规则信息时，能够通过此功能删除赠送礼品营销活动销售规则信息，以便于清理失效的营销活动配置数据。本次涉及调整修改内容为新增赠送礼品营销活动销售规则信息删除处理逻辑，支持通过赠送礼品营销活动销售规则信息编号删除指定记录。</t>
  </si>
  <si>
    <t>赠送礼品营销活动销售规则信息删除</t>
  </si>
  <si>
    <t>作为业务人员，当需要新增赠送礼品营销活动销售规则信息时，能够通过此功能新增赠送礼品营销活动销售规则信息，以便于及时配置营销活动相关数据。本次涉及调整修改内容为新增赠送礼品营销活动销售规则信息新增处理逻辑，支持编号、名称、类型、状态、操作人员等内容的录入。</t>
  </si>
  <si>
    <t>赠送礼品营销活动销售规则信息新增</t>
  </si>
  <si>
    <t>作为业务人员，当需要修改赠送礼品营销活动销售规则信息时，能够通过此功能修改赠送礼品营销活动销售规则信息，以便于及时更新营销活动相关数据。本次涉及调整修改内容为调整号码类型、服务号码、用户标识、礼品信息等业务处理逻辑以满足营销活动配置管理需求。</t>
  </si>
  <si>
    <t>赠送礼品营销活动销售规则信息修改</t>
  </si>
  <si>
    <t>赠送礼品营销活动信息在产商品中心中维护和存储，支持业务人员对数据做维护管理，数据主要字段包括：开始日期、创建人、结束日期、标签、更新时间、优惠金额等；同时数据提供给营销活动配置管理业务引用。本次涉及调整修改内容为调整相关字段以适配营销活动业务变更需求。</t>
  </si>
  <si>
    <t>赠送礼品营销活动信息</t>
  </si>
  <si>
    <t>作为业务人员，当需要查询赠送礼品营销活动信息时，能够通过此功能查出营销活动编码、营销活动名称、营销活动类型、业务类型、营销活动小类编码等信息，以便于快速获取营销活动相关信息。本次涉及调整修改内容为优化赠送礼品营销活动信息查询功能。</t>
  </si>
  <si>
    <t>赠送礼品营销活动信息查询</t>
  </si>
  <si>
    <t>作为业务人员，当需要删除赠送礼品营销活动信息时，能够通过此功能删除赠送礼品营销活动信息，以便于清理失效的营销活动配置数据。本次涉及调整修改内容为新增赠送礼品营销活动信息删除处理逻辑，支持通过赠送礼品营销活动信息编号删除指定记录。</t>
  </si>
  <si>
    <t>赠送礼品营销活动信息删除</t>
  </si>
  <si>
    <t>作为业务人员，当需要新增赠送礼品营销活动信息时，能够通过此功能新增赠送礼品营销活动信息，以便于及时配置营销活动相关数据。本次涉及调整修改内容为新增赠送礼品营销活动信息新增处理逻辑，支持编号、名称、类型、状态、操作人员等内容的录入。</t>
  </si>
  <si>
    <t>赠送礼品营销活动信息新增</t>
  </si>
  <si>
    <t>作为业务人员，当需要修改赠送礼品营销活动信息时，能够通过此功能修改赠送礼品营销活动信息，以便于及时更新营销活动相关数据。本次涉及调整修改内容为调整营销活动名称、营销活动类型、业务类型、营销活动描述信息等业务处理逻辑以满足营销活动配置管理需求。</t>
  </si>
  <si>
    <t>赠送礼品营销活动信息修改</t>
  </si>
  <si>
    <t>赠送礼品营销活动审批信息在产商品中心中维护和存储，支持业务人员对数据做维护管理，数据主要字段包括：更新人、失效时间、描述、排序号、主键ID、更新时间等；同时数据提供给营销活动审批流程管理业务引用。本次涉及调整修改内容为调整相关字段以适配营销活动业务变更需求。</t>
  </si>
  <si>
    <t>赠送礼品营销活动审批信息</t>
  </si>
  <si>
    <t>作为业务人员，当需要查看赠送礼品营销活动审批信息报表时，能够通过此功能查看赠送礼品营销活动审批信息报表数据，以便于及时了解营销活动审批情况。本次涉及调整修改内容为调整报表统计业务处理逻辑。</t>
  </si>
  <si>
    <t>赠送礼品营销活动审批信息报表</t>
  </si>
  <si>
    <t>作为业务人员，当需要查询赠送礼品营销活动审批信息时，能够通过此功能查出审批流水、业务编号、业务类型、业务操作人工号、业务操作时间等信息，以便于快速获取营销活动相关信息。本次涉及调整修改内容为优化赠送礼品营销活动审批信息查询功能。</t>
  </si>
  <si>
    <t>赠送礼品营销活动审批信息查询</t>
  </si>
  <si>
    <t>作为业务人员，当需要删除赠送礼品营销活动审批信息时，能够通过此功能删除赠送礼品营销活动审批信息，以便于清理失效的营销活动配置数据。本次涉及调整修改内容为新增赠送礼品营销活动审批信息删除处理逻辑，支持通过赠送礼品营销活动审批信息编号删除指定记录。</t>
  </si>
  <si>
    <t>赠送礼品营销活动审批信息删除</t>
  </si>
  <si>
    <t>作为业务人员，当需要新增赠送礼品营销活动审批信息时，能够通过此功能新增赠送礼品营销活动审批信息，以便于及时配置营销活动相关数据。本次涉及调整修改内容为新增赠送礼品营销活动审批信息新增处理逻辑，支持编号、名称、类型、状态、操作人员等内容的录入。</t>
  </si>
  <si>
    <t>赠送礼品营销活动审批信息新增</t>
  </si>
  <si>
    <t>作为业务人员，当需要修改赠送礼品营销活动审批信息时，能够通过此功能修改赠送礼品营销活动审批信息，以便于及时更新营销活动相关数据。本次涉及调整修改内容为调整业务类型、业务操作人工号、业务操作时间、审批描述信息等业务处理逻辑以满足营销活动配置管理需求。</t>
  </si>
  <si>
    <t>赠送礼品营销活动审批信息修改</t>
  </si>
  <si>
    <t>赠送礼品营销活动核查信息在产商品中心中维护和存储，支持业务人员对数据做维护管理，数据主要字段包括：更新人、验证名称、验证次数、描述、更新时间、标签等，本次涉及调整修改内容为赠送礼品营销活动验证信息等；同时数据提供给营销活动信息核查业务引用。本次涉及调整修改内容为调整相关字段以适配营销活动业务变更需求。</t>
  </si>
  <si>
    <t>赠送礼品营销活动核查信息</t>
  </si>
  <si>
    <t>作为业务人员，当需要查询赠送礼品营销活动核查信息时，能够通过此功能查出任务执行编号、号码类型、服务号码、用户标识、地市编码等信息，以便于快速获取营销活动相关信息。本次涉及调整修改内容为优化赠送礼品营销活动核查信息查询功能。</t>
  </si>
  <si>
    <t>赠送礼品营销活动核查信息查询</t>
  </si>
  <si>
    <t>作为业务人员，当需要删除赠送礼品营销活动核查信息时，能够通过此功能删除赠送礼品营销活动核查信息，以便于清理失效的营销活动配置数据。本次涉及调整修改内容为新增赠送礼品营销活动核查信息删除处理逻辑，支持通过赠送礼品营销活动验证信息编号删除指定记录。</t>
  </si>
  <si>
    <t>赠送礼品营销活动核查信息删除</t>
  </si>
  <si>
    <t>作为业务人员，当需要新增赠送礼品营销活动核查信息时，能够通过此功能新增赠送礼品营销活动核查信息，以便于及时配置营销活动相关数据。本次涉及调整修改内容为新增赠送礼品营销活动核查信息新增处理逻辑，支持编号、名称、类型、状态、操作人员等内容的录入。</t>
  </si>
  <si>
    <t>赠送礼品营销活动核查信息新增</t>
  </si>
  <si>
    <t>赠送礼品营销模板信息在产商品中心中维护和存储，支持业务人员对数据做维护管理，数据主要字段包括：任务执行编号、号码类型、服务号码、用户标识、地市编码、礼品信息、礼品编码、礼品名称、礼品数量、礼品赠送标志等；同时数据提供给营销活动模板配置业务引用。本次涉及调整修改内容为调整相关字段以适配营销活动业务变更需求。</t>
  </si>
  <si>
    <t>赠送礼品营销模板信息</t>
  </si>
  <si>
    <t>作为业务人员，当需要查询赠送礼品营销模板信息时，能够通过此功能查出任务执行编号、号码类型、服务号码、用户标识、地市编码等信息，以便于快速获取营销活动相关信息。本次涉及调整修改内容为优化赠送礼品营销模板信息查询功能。</t>
  </si>
  <si>
    <t>赠送礼品营销模板信息查询</t>
  </si>
  <si>
    <t>作为业务人员，当需要删除赠送礼品营销模板信息时，能够通过此功能删除赠送礼品营销模板信息，以便于清理失效的营销活动配置数据。本次涉及调整修改内容为新增赠送礼品营销模板信息删除处理逻辑，支持通过赠送礼品营销模板信息编号删除指定记录。</t>
  </si>
  <si>
    <t>赠送礼品营销模板信息删除</t>
  </si>
  <si>
    <t>作为业务人员，当需要新增赠送礼品营销模板信息时，能够通过此功能新增赠送礼品营销模板信息，以便于及时配置营销活动相关数据。本次涉及调整修改内容为新增赠送礼品营销模板信息新增处理逻辑，支持编号、名称、类型、状态、操作人员等内容的录入。</t>
  </si>
  <si>
    <t>赠送礼品营销模板信息新增</t>
  </si>
  <si>
    <t>作为业务人员，当需要修改赠送礼品营销模板信息时，能够通过此功能修改赠送礼品营销模板信息，以便于及时更新营销活动相关数据。本次涉及调整修改内容为调整号码类型、服务号码、用户标识、礼品信息等业务处理逻辑以满足营销活动配置管理需求。</t>
  </si>
  <si>
    <t>赠送礼品营销模板信息修改</t>
  </si>
  <si>
    <t>直降优惠营销活动审批信息在产商品中心中维护和存储，支持业务人员对数据做维护管理，数据主要字段包括：备注、审批意见、审批类型、更新时间、审批人、版本号等；同时数据提供给营销活动审批流程管理业务引用。本次涉及调整修改内容为调整相关字段以适配营销活动业务变更需求。</t>
  </si>
  <si>
    <t>直降优惠营销活动审批信息</t>
  </si>
  <si>
    <t>作为业务人员，当需要查看直降优惠营销活动审批信息报表时，能够通过此功能查看直降优惠营销活动审批信息报表数据，以便于及时了解营销活动审批情况。本次涉及调整修改内容为调整报表统计业务处理逻辑。</t>
  </si>
  <si>
    <t>直降优惠营销活动审批信息报表</t>
  </si>
  <si>
    <t>作为业务人员，当需要查询直降优惠营销活动审批信息时，能够通过此功能查出审批流水、业务编号、业务类型、业务操作人工号、业务操作时间等信息，以便于快速获取营销活动相关信息。本次涉及调整修改内容为优化直降优惠营销活动审批信息查询功能。</t>
  </si>
  <si>
    <t>直降优惠营销活动审批信息查询</t>
  </si>
  <si>
    <t>作为业务人员，当需要删除直降优惠营销活动审批信息时，能够通过此功能删除直降优惠营销活动审批信息，以便于清理失效的营销活动配置数据。本次涉及调整修改内容为新增直降优惠营销活动审批信息删除处理逻辑，支持通过直降优惠营销活动审批信息编号删除指定记录。</t>
  </si>
  <si>
    <t>直降优惠营销活动审批信息删除</t>
  </si>
  <si>
    <t>作为业务人员，当需要新增直降优惠营销活动审批信息时，能够通过此功能新增直降优惠营销活动审批信息，以便于及时配置营销活动相关数据。本次涉及调整修改内容为新增直降优惠营销活动审批信息新增处理逻辑，支持编号、名称、类型、状态、操作人员等内容的录入。</t>
  </si>
  <si>
    <t>直降优惠营销活动审批信息新增</t>
  </si>
  <si>
    <t>作为业务人员，当需要修改直降优惠营销活动审批信息时，能够通过此功能修改直降优惠营销活动审批信息，以便于及时更新营销活动相关数据。本次涉及调整修改内容为调整业务类型、业务操作人工号、业务操作时间、审批描述信息等业务处理逻辑以满足营销活动配置管理需求。</t>
  </si>
  <si>
    <t>直降优惠营销活动审批信息修改</t>
  </si>
  <si>
    <t>直降优惠营销活动核查信息在产商品中心中维护和存储，支持业务人员对数据做维护管理，数据主要字段包括：生效时间、更新时间、主键ID、验证渠道、排序号、验证描述等，本次涉及调整修改内容为直降优惠营销活动验证信息等；同时数据提供给营销活动信息核查业务引用。本次涉及调整修改内容为调整相关字段以适配营销活动业务变更需求。</t>
  </si>
  <si>
    <t>直降优惠营销活动核查信息</t>
  </si>
  <si>
    <t>作为业务人员，当需要查询直降优惠营销活动核查信息时，能够通过此功能查出地市编码、渠道类型、用户标识、服务号码、活动编号等信息，以便于快速获取营销活动相关信息。本次涉及调整修改内容为优化直降优惠营销活动核查信息查询功能。</t>
  </si>
  <si>
    <t>直降优惠营销活动核查信息查询</t>
  </si>
  <si>
    <t>作为业务人员，当需要删除直降优惠营销活动核查信息时，能够通过此功能删除直降优惠营销活动核查信息，以便于清理失效的营销活动配置数据。本次涉及调整修改内容为新增直降优惠营销活动核查信息删除处理逻辑，支持通过直降优惠营销活动验证信息编号删除指定记录。</t>
  </si>
  <si>
    <t>直降优惠营销活动核查信息删除</t>
  </si>
  <si>
    <t>作为业务人员，当需要新增直降优惠营销活动核查信息时，能够通过此功能新增直降优惠营销活动核查信息，以便于及时配置营销活动相关数据。本次涉及调整修改内容为新增直降优惠营销活动核查信息新增处理逻辑，支持编号、名称、类型、状态、操作人员等内容的录入。</t>
  </si>
  <si>
    <t>直降优惠营销活动核查信息新增</t>
  </si>
  <si>
    <t>直降优惠营销模板信息在产商品中心中维护和存储，支持业务人员对数据做维护管理，数据主要字段包括：主键ID、活动状态编码、组织编码、活动描述信息、创建人、失效时间等；同时数据提供给营销活动模板配置业务引用。本次涉及调整修改内容为调整相关字段以适配营销活动业务变更需求。</t>
  </si>
  <si>
    <t>直降优惠营销模板信息</t>
  </si>
  <si>
    <t>作为业务人员，当需要查询直降优惠营销模板信息时，能够通过此功能查出活动、地市编码、活动属性标识、活动属性、活动属性名称等信息，以便于快速获取营销活动相关信息。本次涉及调整修改内容为优化直降优惠营销模板信息查询功能。</t>
  </si>
  <si>
    <t>直降优惠营销模板信息查询</t>
  </si>
  <si>
    <t>作为业务人员，当需要删除直降优惠营销模板信息时，能够通过此功能删除直降优惠营销模板信息，以便于清理失效的营销活动配置数据。本次涉及调整修改内容为新增直降优惠营销模板信息删除处理逻辑，支持通过直降优惠营销模板信息编号删除指定记录。</t>
  </si>
  <si>
    <t>直降优惠营销模板信息删除</t>
  </si>
  <si>
    <t>作为业务人员，当需要新增直降优惠营销模板信息时，能够通过此功能新增直降优惠营销模板信息，以便于及时配置营销活动相关数据。本次涉及调整修改内容为新增直降优惠营销模板信息新增处理逻辑，支持编号、名称、类型、状态、操作人员等内容的录入。</t>
  </si>
  <si>
    <t>直降优惠营销模板信息新增</t>
  </si>
  <si>
    <t>作为业务人员，当需要修改直降优惠营销模板信息时，能够通过此功能修改直降优惠营销模板信息，以便于及时更新营销活动相关数据。本次涉及调整修改内容为调整活动、活动属性标识、活动属性、活动属性名称等业务处理逻辑以满足营销活动配置管理需求。</t>
  </si>
  <si>
    <t>直降优惠营销模板信息修改</t>
  </si>
  <si>
    <t>终端营销模板信息在产商品中心中维护和存储，支持业务人员对数据做维护管理，数据主要字段包括：活动描述信息、活动名称、状态、删除标识、主办单位、生效时间等；同时数据提供给营销活动模板配置业务引用。本次涉及调整修改内容为调整相关字段以适配营销活动业务变更需求。</t>
  </si>
  <si>
    <t>终端营销模板信息</t>
  </si>
  <si>
    <t>作为业务人员，当需要查询终端营销模板信息时，能够通过此功能查出地市编码、渠道类型、用户标识、服务号码、活动编号等信息，以便于快速获取营销活动相关信息。本次涉及调整修改内容为优化终端营销模板信息查询功能。</t>
  </si>
  <si>
    <t>终端营销模板信息查询</t>
  </si>
  <si>
    <t>作为业务人员，当需要删除终端营销模板信息时，能够通过此功能删除终端营销模板信息，以便于清理失效的营销活动配置数据。本次涉及调整修改内容为新增终端营销模板信息删除处理逻辑，支持通过终端营销模板信息编号删除指定记录。</t>
  </si>
  <si>
    <t>终端营销模板信息删除</t>
  </si>
  <si>
    <t>作为业务人员，当需要新增终端营销模板信息时，能够通过此功能新增终端营销模板信息，以便于及时配置营销活动相关数据。本次涉及调整修改内容为新增终端营销模板信息新增处理逻辑，支持编号、名称、类型、状态、操作人员等内容的录入。</t>
  </si>
  <si>
    <t>终端营销模板信息新增</t>
  </si>
  <si>
    <t>作为业务人员，当需要修改终端营销模板信息时，能够通过此功能修改终端营销模板信息，以便于及时更新营销活动相关数据。本次涉及调整修改内容为调整渠道类型、用户标识、服务号码、工单号等业务处理逻辑以满足营销活动配置管理需求。</t>
  </si>
  <si>
    <t>终端营销模板信息修改</t>
  </si>
  <si>
    <t>终端营销活动审批信息在产商品中心中维护和存储，支持业务人员对数据做维护管理，数据主要字段包括：备注、创建人、审批时间、业务名称、排序号、组织机构编码等；同时数据提供给营销活动审批流程管理业务引用。本次涉及调整修改内容为调整相关字段以适配营销活动业务变更需求。</t>
  </si>
  <si>
    <t>终端营销活动审批信息</t>
  </si>
  <si>
    <t>作为业务人员，当需要查看终端营销活动审批信息报表时，能够通过此功能查看终端营销活动审批信息报表数据，以便于及时了解营销活动审批情况。本次涉及调整修改内容为调整报表统计业务处理逻辑。</t>
  </si>
  <si>
    <t>终端营销活动审批信息报表</t>
  </si>
  <si>
    <t>作为业务人员，当需要查询终端营销活动审批信息时，能够通过此功能查出审批流水、业务编号、业务类型、业务操作人工号、业务操作时间等信息，以便于快速获取营销活动相关信息。本次涉及调整修改内容为优化终端营销活动审批信息查询功能。</t>
  </si>
  <si>
    <t>终端营销活动审批信息查询</t>
  </si>
  <si>
    <t>作为业务人员，当需要删除终端营销活动审批信息时，能够通过此功能删除终端营销活动审批信息，以便于清理失效的营销活动配置数据。本次涉及调整修改内容为新增终端营销活动审批信息删除处理逻辑，支持通过终端营销活动审批信息编号删除指定记录。</t>
  </si>
  <si>
    <t>终端营销活动审批信息删除</t>
  </si>
  <si>
    <t>作为业务人员，当需要新增终端营销活动审批信息时，能够通过此功能新增终端营销活动审批信息，以便于及时配置营销活动相关数据。本次涉及调整修改内容为新增终端营销活动审批信息新增处理逻辑，支持编号、名称、类型、状态、操作人员等内容的录入。</t>
  </si>
  <si>
    <t>终端营销活动审批信息新增</t>
  </si>
  <si>
    <t>作为业务人员，当需要修改终端营销活动审批信息时，能够通过此功能修改终端营销活动审批信息，以便于及时更新营销活动相关数据。本次涉及调整修改内容为调整业务类型、业务操作人工号、业务操作时间、审批描述信息等业务处理逻辑以满足营销活动配置管理需求。</t>
  </si>
  <si>
    <t>终端营销活动审批信息修改</t>
  </si>
  <si>
    <t>终端营销活动核查结果信息在产商品中心中维护和存储，支持业务人员对数据做维护管理，数据主要字段包括：活动描述、生效时间、活动名称、类型、创建时间、描述等，本次涉及调整修改内容为终端营销活动验证结果信息等；同时数据提供给营销活动信息核查业务引用。本次涉及调整修改内容为调整相关字段以适配营销活动业务变更需求。</t>
  </si>
  <si>
    <t>终端营销活动核查结果信息</t>
  </si>
  <si>
    <t>作为业务人员，当需要查询终端营销活动核查结果信息时，能够通过此功能查出地市编码、渠道类型、用户标识、服务号码、活动编号等信息，以便于快速获取营销活动相关信息。本次涉及调整修改内容为优化终端营销活动核查结果信息查询功能。</t>
  </si>
  <si>
    <t>终端营销活动核查结果信息查询</t>
  </si>
  <si>
    <t>作为业务人员，当需要删除终端营销活动核查结果信息时，能够通过此功能删除终端营销活动核查结果信息，以便于清理失效的营销活动配置数据。本次涉及调整修改内容为新增终端营销活动核查结果信息删除处理逻辑，支持通过终端营销活动验证结果信息编号删除指定记录。</t>
  </si>
  <si>
    <t>终端营销活动核查结果信息删除</t>
  </si>
  <si>
    <t>作为业务人员，当需要新增终端营销活动核查结果信息时，能够通过此功能新增终端营销活动核查结果信息，以便于及时配置营销活动相关数据。本次涉及调整修改内容为新增终端营销活动核查结果信息新增处理逻辑，支持编号、名称、类型、状态、操作人员等内容的录入。</t>
  </si>
  <si>
    <t>终端营销活动核查结果信息新增</t>
  </si>
  <si>
    <t>终端营销活动核查信息在产商品中心中维护和存储，支持业务人员对数据做维护管理，数据主要字段包括：创建时间、编码、验证次数、创建人、状态代码、版本号等，本次涉及调整修改内容为终端营销活动验证信息等；同时数据提供给营销活动信息核查业务引用。本次涉及调整修改内容为调整相关字段以适配营销活动业务变更需求。</t>
  </si>
  <si>
    <t>终端营销活动核查信息</t>
  </si>
  <si>
    <t>作为业务人员，当需要查询终端营销活动核查信息时，能够通过此功能查出地市编码、渠道类型、用户标识、服务号码、活动编号等信息，以便于快速获取营销活动相关信息。本次涉及调整修改内容为优化终端营销活动核查信息查询功能。</t>
  </si>
  <si>
    <t>终端营销活动核查信息查询</t>
  </si>
  <si>
    <t>作为业务人员，当需要删除终端营销活动核查信息时，能够通过此功能删除终端营销活动核查信息，以便于清理失效的营销活动配置数据。本次涉及调整修改内容为新增终端营销活动核查信息删除处理逻辑，支持通过终端营销活动验证信息编号删除指定记录。</t>
  </si>
  <si>
    <t>终端营销活动核查信息删除</t>
  </si>
  <si>
    <t>作为业务人员，当需要新增终端营销活动核查信息时，能够通过此功能新增终端营销活动核查信息，以便于及时配置营销活动相关数据。本次涉及调整修改内容为新增终端营销活动核查信息新增处理逻辑，支持编号、名称、类型、状态、操作人员等内容的录入。</t>
  </si>
  <si>
    <t>终端营销活动核查信息新增</t>
  </si>
  <si>
    <t>规模估算结果（单位：功能点）</t>
  </si>
  <si>
    <t>规模变更调整因子取值</t>
  </si>
  <si>
    <t>调整后规模（单位：功能点）</t>
  </si>
  <si>
    <t>基准生产率（单位：人时/功能点）</t>
  </si>
  <si>
    <t>未调整工作量（单位：人天）</t>
  </si>
  <si>
    <t>下限</t>
  </si>
  <si>
    <t>中值</t>
  </si>
  <si>
    <t>上限</t>
  </si>
  <si>
    <t>调整因子</t>
  </si>
  <si>
    <t>无特别限定</t>
  </si>
  <si>
    <t>规格化系数</t>
  </si>
  <si>
    <t>根据行业基准数据和合同约定的人力费率进行规格化处理</t>
  </si>
  <si>
    <t>调整后工作量（单位：人天）</t>
  </si>
  <si>
    <t>人力基准单价（单位：元/人天）</t>
  </si>
  <si>
    <t>2023年中国软件行业基准数据成都地区人力费率，不包含直接非人力成本</t>
  </si>
  <si>
    <t>基准报价（单位：元）
（不包含直接非人力成本）</t>
  </si>
  <si>
    <t>合同工作量（人天）</t>
  </si>
  <si>
    <t>评估工作量（人天）</t>
  </si>
  <si>
    <t>工作量核减率</t>
  </si>
  <si>
    <t>合同人天单价（元/人天）</t>
  </si>
  <si>
    <t>含税，如果合同未约定人天单价，则不填写</t>
  </si>
  <si>
    <r>
      <rPr>
        <b/>
        <sz val="11"/>
        <color rgb="FFC00000"/>
        <rFont val="宋体"/>
        <charset val="134"/>
      </rPr>
      <t xml:space="preserve">送审订单金额（元）
</t>
    </r>
    <r>
      <rPr>
        <sz val="11"/>
        <color rgb="FFC00000"/>
        <rFont val="宋体"/>
        <charset val="134"/>
      </rPr>
      <t>仅指软件开发部分的含税金额，不含集成等其他费用</t>
    </r>
  </si>
  <si>
    <t>单一来源采购项目类开发，为合同中的软件开发含税金额；集运中心分次送审的工单类合同，为每次送审订单金额（各次送审订单金额累计为合同金额）</t>
  </si>
  <si>
    <t>浮动系数</t>
  </si>
  <si>
    <t>根据内审会议结论确定的规则，新建、替换项目上浮10%，续建项目上浮5%，其他不上浮；上浮仅对2022年6月30日前签订合同的项目；</t>
  </si>
  <si>
    <t>审定金额（元）</t>
  </si>
  <si>
    <t>含税</t>
  </si>
  <si>
    <t>审减率</t>
  </si>
  <si>
    <t>本模板通常只填写白色区域；</t>
  </si>
  <si>
    <t>填写顺序为：填写项目特征-&gt;规模估算-&gt;查看结果（“开发工作量估算”相关部分）</t>
  </si>
  <si>
    <t>深灰</t>
  </si>
  <si>
    <t>模板固定部分，不得修改</t>
  </si>
  <si>
    <t>重用程度调整系数</t>
  </si>
  <si>
    <t>浅灰</t>
  </si>
  <si>
    <t>模板固定部分，在必要时统一修改</t>
  </si>
  <si>
    <t>绿色</t>
  </si>
  <si>
    <t>自动计算或引用数据，不得修改</t>
  </si>
  <si>
    <t>白色</t>
  </si>
  <si>
    <t>需填写或修改内容</t>
  </si>
  <si>
    <t>修改类型调整系数</t>
  </si>
  <si>
    <t>描述</t>
  </si>
  <si>
    <t>新增</t>
  </si>
  <si>
    <t>B域系统：BOSS系统、CRM系统、BOMC业务支撑、CMOP系统、渠道酬金平台、清欠系统、客服系统、短信营业厅、网上商城系统等
O域系统：监控系统、网管系统、综合资源管理系统、服务保障系统等</t>
  </si>
  <si>
    <t>非电信类系统</t>
  </si>
  <si>
    <t>M域系统：项目管理系统、人力资源系统、全面预算系统、合同管理、绩效考核系统、综合事务管理系统、供应链管理系统、ERP等
其他：ITSM、大数据等</t>
  </si>
  <si>
    <t>删除</t>
  </si>
  <si>
    <t>预估功能点</t>
  </si>
  <si>
    <t>EIF</t>
  </si>
  <si>
    <t>判断标准</t>
  </si>
  <si>
    <t>没有明示对分布式处理的需求事项</t>
  </si>
  <si>
    <t>通过特别的设计保证在多个服务器及处理器上同时相互执行应用中的处理功能</t>
  </si>
  <si>
    <t>没有明示对性能的特别需求事项或仅需提供基本性能</t>
  </si>
  <si>
    <t>为满足性能需求事项，要求设计阶段开始进行性能分析，或在设计、开发阶段使用分析工具</t>
  </si>
  <si>
    <t>没有明示对可靠性的特别需求事项或仅需提供基本的可靠性</t>
  </si>
  <si>
    <t>发生故障时造成重大经济损失或有生命危害</t>
  </si>
  <si>
    <t>在相同的硬件或软件环境下运行</t>
  </si>
  <si>
    <t>在设计阶段需要考虑不同站点的不同硬件或软件环境下运行需求</t>
  </si>
  <si>
    <t>C及其他同级别语言/平台</t>
  </si>
  <si>
    <t>PowerBuilder、ASP及其他同级别语言/平台</t>
  </si>
  <si>
    <t>为其他行业开发过类似的软件，或为本行业开发过不同但相关的软件</t>
  </si>
  <si>
    <t>没有同类软件及本行业相关软件开发背景</t>
  </si>
  <si>
    <t>完整性级别为A/B同时为达成完整性级别要求采取了特殊的设计及实现方式</t>
  </si>
  <si>
    <t>完整性级别为A同时为达成完整性级别要求在软件开发全生命周期均采取了特定、明确的措施</t>
  </si>
  <si>
    <t>规模变更调整因子</t>
  </si>
  <si>
    <t>早期估算</t>
  </si>
  <si>
    <t>中期估算</t>
  </si>
  <si>
    <t>晚期估算</t>
  </si>
  <si>
    <t>定制规则</t>
  </si>
  <si>
    <t>1.经局方三域沟通，对于增加水印、埋点等单一规则影响到多个事务功能的情况，进行功能点评估时最多正常评估40个功能点，超过40个以上的部分按50%来折算评估。即：公共功能的修改影响到多个事务功能时，最多计正常计40个功能点，事务功能修改计数结果超出部分按50%折算。</t>
  </si>
  <si>
    <t>举例：如果是100个页面加水印，40个页面正常算，另外60个等效成30个，共计70个的等效页面来算。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</si>
</sst>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 numFmtId="178" formatCode="0_ "/>
    <numFmt numFmtId="179" formatCode="0.0_);[Red]\(0.0\)"/>
  </numFmts>
  <fonts count="44">
    <font>
      <sz val="11"/>
      <color theme="1"/>
      <name val="等线"/>
      <charset val="134"/>
      <scheme val="minor"/>
    </font>
    <font>
      <b/>
      <sz val="11"/>
      <color theme="1"/>
      <name val="宋体"/>
      <charset val="134"/>
    </font>
    <font>
      <sz val="11"/>
      <color theme="1"/>
      <name val="宋体"/>
      <charset val="134"/>
    </font>
    <font>
      <sz val="11"/>
      <name val="宋体"/>
      <charset val="134"/>
    </font>
    <font>
      <sz val="11"/>
      <color rgb="FF000000"/>
      <name val="等线"/>
      <charset val="134"/>
      <scheme val="minor"/>
    </font>
    <font>
      <sz val="11"/>
      <color theme="8"/>
      <name val="宋体"/>
      <charset val="134"/>
    </font>
    <font>
      <b/>
      <sz val="11"/>
      <color theme="3"/>
      <name val="宋体"/>
      <charset val="134"/>
    </font>
    <font>
      <b/>
      <sz val="11"/>
      <color theme="8"/>
      <name val="宋体"/>
      <charset val="134"/>
    </font>
    <font>
      <b/>
      <sz val="11"/>
      <color rgb="FFC00000"/>
      <name val="宋体"/>
      <charset val="134"/>
    </font>
    <font>
      <b/>
      <sz val="11"/>
      <name val="宋体"/>
      <charset val="134"/>
    </font>
    <font>
      <sz val="11"/>
      <color rgb="FFC00000"/>
      <name val="等线"/>
      <charset val="134"/>
      <scheme val="minor"/>
    </font>
    <font>
      <b/>
      <sz val="11"/>
      <color rgb="FFFF0000"/>
      <name val="宋体"/>
      <charset val="134"/>
    </font>
    <font>
      <sz val="9"/>
      <color theme="1"/>
      <name val="宋体"/>
      <charset val="134"/>
    </font>
    <font>
      <sz val="10"/>
      <color theme="1"/>
      <name val="宋体"/>
      <charset val="134"/>
    </font>
    <font>
      <sz val="11"/>
      <color indexed="8"/>
      <name val="宋体"/>
      <charset val="134"/>
    </font>
    <font>
      <sz val="10"/>
      <color indexed="8"/>
      <name val="宋体"/>
      <charset val="134"/>
    </font>
    <font>
      <b/>
      <sz val="11"/>
      <color indexed="8"/>
      <name val="宋体"/>
      <charset val="134"/>
    </font>
    <font>
      <sz val="11"/>
      <color rgb="FFC00000"/>
      <name val="宋体"/>
      <charset val="134"/>
    </font>
    <font>
      <b/>
      <sz val="9"/>
      <color indexed="8"/>
      <name val="宋体"/>
      <charset val="134"/>
    </font>
    <font>
      <sz val="9"/>
      <color indexed="8"/>
      <name val="宋体"/>
      <charset val="134"/>
    </font>
    <font>
      <b/>
      <sz val="12"/>
      <name val="宋体"/>
      <charset val="134"/>
    </font>
    <font>
      <sz val="10"/>
      <name val="宋体"/>
      <charset val="134"/>
    </font>
    <font>
      <sz val="10.5"/>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9"/>
      <name val="宋体"/>
      <charset val="134"/>
    </font>
  </fonts>
  <fills count="42">
    <fill>
      <patternFill patternType="none"/>
    </fill>
    <fill>
      <patternFill patternType="gray125"/>
    </fill>
    <fill>
      <patternFill patternType="solid">
        <fgColor theme="0" tint="-0.349986266670736"/>
        <bgColor indexed="64"/>
      </patternFill>
    </fill>
    <fill>
      <patternFill patternType="solid">
        <fgColor rgb="FFA6A6A6"/>
        <bgColor indexed="64"/>
      </patternFill>
    </fill>
    <fill>
      <patternFill patternType="solid">
        <fgColor theme="0" tint="-0.149845881527146"/>
        <bgColor indexed="64"/>
      </patternFill>
    </fill>
    <fill>
      <patternFill patternType="solid">
        <fgColor rgb="FFC4D79B"/>
        <bgColor indexed="64"/>
      </patternFill>
    </fill>
    <fill>
      <patternFill patternType="solid">
        <fgColor theme="0"/>
        <bgColor indexed="64"/>
      </patternFill>
    </fill>
    <fill>
      <patternFill patternType="solid">
        <fgColor theme="0" tint="-0.149906918546098"/>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4" tint="0.599993896298105"/>
        <bgColor indexed="64"/>
      </patternFill>
    </fill>
    <fill>
      <patternFill patternType="solid">
        <fgColor theme="0" tint="-0.1498764000366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12" borderId="13"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4" applyNumberFormat="0" applyFill="0" applyAlignment="0" applyProtection="0">
      <alignment vertical="center"/>
    </xf>
    <xf numFmtId="0" fontId="29" fillId="0" borderId="14" applyNumberFormat="0" applyFill="0" applyAlignment="0" applyProtection="0">
      <alignment vertical="center"/>
    </xf>
    <xf numFmtId="0" fontId="30" fillId="0" borderId="15" applyNumberFormat="0" applyFill="0" applyAlignment="0" applyProtection="0">
      <alignment vertical="center"/>
    </xf>
    <xf numFmtId="0" fontId="30" fillId="0" borderId="0" applyNumberFormat="0" applyFill="0" applyBorder="0" applyAlignment="0" applyProtection="0">
      <alignment vertical="center"/>
    </xf>
    <xf numFmtId="0" fontId="31" fillId="13" borderId="16" applyNumberFormat="0" applyAlignment="0" applyProtection="0">
      <alignment vertical="center"/>
    </xf>
    <xf numFmtId="0" fontId="32" fillId="14" borderId="17" applyNumberFormat="0" applyAlignment="0" applyProtection="0">
      <alignment vertical="center"/>
    </xf>
    <xf numFmtId="0" fontId="33" fillId="14" borderId="16" applyNumberFormat="0" applyAlignment="0" applyProtection="0">
      <alignment vertical="center"/>
    </xf>
    <xf numFmtId="0" fontId="34" fillId="15" borderId="18" applyNumberFormat="0" applyAlignment="0" applyProtection="0">
      <alignment vertical="center"/>
    </xf>
    <xf numFmtId="0" fontId="35" fillId="0" borderId="19" applyNumberFormat="0" applyFill="0" applyAlignment="0" applyProtection="0">
      <alignment vertical="center"/>
    </xf>
    <xf numFmtId="0" fontId="36" fillId="0" borderId="20" applyNumberFormat="0" applyFill="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1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41" fillId="39" borderId="0" applyNumberFormat="0" applyBorder="0" applyAlignment="0" applyProtection="0">
      <alignment vertical="center"/>
    </xf>
    <xf numFmtId="0" fontId="41" fillId="40" borderId="0" applyNumberFormat="0" applyBorder="0" applyAlignment="0" applyProtection="0">
      <alignment vertical="center"/>
    </xf>
    <xf numFmtId="0" fontId="40" fillId="41" borderId="0" applyNumberFormat="0" applyBorder="0" applyAlignment="0" applyProtection="0">
      <alignment vertical="center"/>
    </xf>
    <xf numFmtId="0" fontId="42" fillId="0" borderId="0">
      <alignment vertical="center"/>
    </xf>
    <xf numFmtId="0" fontId="14" fillId="0" borderId="0">
      <alignment vertical="center"/>
    </xf>
    <xf numFmtId="0" fontId="0" fillId="0" borderId="0">
      <alignment vertical="center"/>
    </xf>
    <xf numFmtId="43" fontId="14" fillId="0" borderId="0" applyFont="0" applyFill="0" applyBorder="0" applyAlignment="0" applyProtection="0">
      <alignment vertical="center"/>
    </xf>
  </cellStyleXfs>
  <cellXfs count="125">
    <xf numFmtId="0" fontId="0" fillId="0" borderId="0" xfId="0"/>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4" borderId="0" xfId="0" applyFont="1" applyFill="1" applyAlignment="1">
      <alignment horizontal="center" vertical="center"/>
    </xf>
    <xf numFmtId="0" fontId="2" fillId="4" borderId="3" xfId="51" applyFont="1" applyFill="1" applyBorder="1" applyAlignment="1">
      <alignment horizontal="center" vertical="center"/>
    </xf>
    <xf numFmtId="176" fontId="2" fillId="4" borderId="3" xfId="51" applyNumberFormat="1" applyFont="1" applyFill="1" applyBorder="1" applyAlignment="1">
      <alignment horizontal="center" vertical="center"/>
    </xf>
    <xf numFmtId="0" fontId="3" fillId="5" borderId="3" xfId="0" applyFont="1" applyFill="1" applyBorder="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vertical="center"/>
    </xf>
    <xf numFmtId="0" fontId="1"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justify" vertical="center" wrapText="1"/>
    </xf>
    <xf numFmtId="176" fontId="2" fillId="4" borderId="3" xfId="0" applyNumberFormat="1" applyFont="1" applyFill="1" applyBorder="1" applyAlignment="1">
      <alignment horizontal="center" vertical="center"/>
    </xf>
    <xf numFmtId="177" fontId="2" fillId="4" borderId="3" xfId="0" applyNumberFormat="1" applyFont="1" applyFill="1" applyBorder="1" applyAlignment="1">
      <alignment horizontal="center" vertical="center" wrapText="1"/>
    </xf>
    <xf numFmtId="10" fontId="2" fillId="4" borderId="3" xfId="0" applyNumberFormat="1" applyFont="1" applyFill="1" applyBorder="1" applyAlignment="1">
      <alignment horizontal="justify" vertical="center" wrapText="1"/>
    </xf>
    <xf numFmtId="0" fontId="2" fillId="4" borderId="3" xfId="0" applyFont="1" applyFill="1" applyBorder="1" applyAlignment="1">
      <alignment horizontal="left" vertical="center" wrapText="1"/>
    </xf>
    <xf numFmtId="0" fontId="2" fillId="4" borderId="3" xfId="0" applyFont="1" applyFill="1" applyBorder="1"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76" fontId="2" fillId="5" borderId="3" xfId="0" applyNumberFormat="1" applyFont="1" applyFill="1" applyBorder="1" applyAlignment="1">
      <alignment vertical="center"/>
    </xf>
    <xf numFmtId="0" fontId="2" fillId="6" borderId="3" xfId="0" applyFont="1" applyFill="1" applyBorder="1" applyAlignment="1">
      <alignment vertical="center"/>
    </xf>
    <xf numFmtId="0" fontId="2" fillId="7" borderId="3" xfId="0" applyFont="1" applyFill="1" applyBorder="1" applyAlignmen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176" fontId="1" fillId="5" borderId="3" xfId="0" applyNumberFormat="1" applyFont="1" applyFill="1" applyBorder="1" applyAlignme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176" fontId="2" fillId="4" borderId="3" xfId="0" applyNumberFormat="1" applyFont="1" applyFill="1" applyBorder="1" applyAlignment="1">
      <alignment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4" borderId="3" xfId="0" applyFont="1" applyFill="1" applyBorder="1" applyAlignment="1">
      <alignment vertical="center"/>
    </xf>
    <xf numFmtId="176" fontId="4" fillId="0" borderId="0" xfId="0" applyNumberFormat="1" applyFont="1" applyAlignment="1">
      <alignment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6" borderId="3" xfId="0" applyFont="1" applyFill="1" applyBorder="1" applyAlignment="1">
      <alignment vertical="center" wrapText="1"/>
    </xf>
    <xf numFmtId="176" fontId="3" fillId="5" borderId="3" xfId="0" applyNumberFormat="1" applyFont="1" applyFill="1" applyBorder="1" applyAlignment="1">
      <alignment vertical="center"/>
    </xf>
    <xf numFmtId="176" fontId="6" fillId="5" borderId="3" xfId="0" applyNumberFormat="1" applyFont="1" applyFill="1" applyBorder="1" applyAlignment="1">
      <alignment vertical="center"/>
    </xf>
    <xf numFmtId="0" fontId="1" fillId="2" borderId="4" xfId="0" applyFont="1" applyFill="1" applyBorder="1" applyAlignment="1">
      <alignment horizontal="center" vertical="center" wrapText="1"/>
    </xf>
    <xf numFmtId="176" fontId="7" fillId="5" borderId="3" xfId="0" applyNumberFormat="1" applyFont="1" applyFill="1" applyBorder="1" applyAlignment="1">
      <alignment vertical="center"/>
    </xf>
    <xf numFmtId="176" fontId="0" fillId="0" borderId="0" xfId="0" applyNumberFormat="1" applyAlignment="1">
      <alignment vertical="center"/>
    </xf>
    <xf numFmtId="176" fontId="6" fillId="0" borderId="3" xfId="0" applyNumberFormat="1" applyFont="1" applyBorder="1" applyAlignment="1">
      <alignment vertical="center"/>
    </xf>
    <xf numFmtId="0" fontId="0" fillId="0" borderId="3" xfId="0" applyBorder="1" applyAlignment="1">
      <alignment vertical="center"/>
    </xf>
    <xf numFmtId="176" fontId="8" fillId="5" borderId="3" xfId="0" applyNumberFormat="1" applyFont="1" applyFill="1" applyBorder="1" applyAlignment="1">
      <alignment vertical="center"/>
    </xf>
    <xf numFmtId="10" fontId="8" fillId="5" borderId="3" xfId="0" applyNumberFormat="1" applyFont="1" applyFill="1" applyBorder="1" applyAlignment="1">
      <alignment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176" fontId="9" fillId="0" borderId="3" xfId="0" applyNumberFormat="1" applyFont="1" applyBorder="1" applyAlignment="1">
      <alignment vertical="center"/>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xf>
    <xf numFmtId="0" fontId="10" fillId="0" borderId="3" xfId="0" applyFont="1" applyBorder="1" applyAlignment="1">
      <alignment vertical="center" wrapText="1"/>
    </xf>
    <xf numFmtId="0" fontId="0" fillId="0" borderId="3" xfId="0" applyBorder="1" applyAlignment="1">
      <alignment vertical="center" wrapText="1"/>
    </xf>
    <xf numFmtId="0" fontId="8" fillId="2" borderId="1" xfId="0" applyFont="1" applyFill="1" applyBorder="1" applyAlignment="1">
      <alignment horizontal="center" vertical="center"/>
    </xf>
    <xf numFmtId="176" fontId="11" fillId="5" borderId="3" xfId="0" applyNumberFormat="1" applyFont="1" applyFill="1" applyBorder="1" applyAlignment="1">
      <alignment vertical="center"/>
    </xf>
    <xf numFmtId="0" fontId="7" fillId="2" borderId="1" xfId="0" applyFont="1" applyFill="1" applyBorder="1" applyAlignment="1">
      <alignment horizontal="center" vertical="center"/>
    </xf>
    <xf numFmtId="10" fontId="11" fillId="5" borderId="3" xfId="0" applyNumberFormat="1" applyFont="1" applyFill="1" applyBorder="1" applyAlignment="1">
      <alignment horizontal="right" vertical="center" indent="1"/>
    </xf>
    <xf numFmtId="0" fontId="12"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applyAlignment="1">
      <alignment horizontal="left" vertical="center"/>
    </xf>
    <xf numFmtId="0" fontId="16" fillId="2" borderId="3" xfId="0" applyFont="1" applyFill="1" applyBorder="1" applyAlignment="1">
      <alignment horizontal="left" vertical="center" wrapText="1"/>
    </xf>
    <xf numFmtId="0" fontId="14" fillId="0" borderId="3" xfId="0" applyFont="1" applyBorder="1" applyAlignment="1">
      <alignment horizontal="center" vertical="center" wrapText="1"/>
    </xf>
    <xf numFmtId="0" fontId="9" fillId="8" borderId="3" xfId="0" applyFont="1" applyFill="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176" fontId="1" fillId="5" borderId="3" xfId="0" applyNumberFormat="1" applyFont="1" applyFill="1" applyBorder="1" applyAlignment="1">
      <alignment horizontal="center" vertical="center" wrapText="1"/>
    </xf>
    <xf numFmtId="0" fontId="3" fillId="0" borderId="3" xfId="0" applyFont="1" applyBorder="1" applyAlignment="1">
      <alignment horizontal="left" vertical="center" wrapText="1"/>
    </xf>
    <xf numFmtId="0" fontId="9" fillId="8" borderId="3" xfId="0" applyFont="1" applyFill="1" applyBorder="1" applyAlignment="1">
      <alignment vertical="center" wrapText="1"/>
    </xf>
    <xf numFmtId="0" fontId="3" fillId="9" borderId="3" xfId="0" applyFont="1" applyFill="1" applyBorder="1" applyAlignment="1">
      <alignment vertical="center" wrapText="1"/>
    </xf>
    <xf numFmtId="0" fontId="1" fillId="8" borderId="3" xfId="0" applyFont="1" applyFill="1" applyBorder="1" applyAlignment="1">
      <alignment horizontal="center" vertical="center" wrapText="1"/>
    </xf>
    <xf numFmtId="176" fontId="8" fillId="5" borderId="3" xfId="0" applyNumberFormat="1" applyFont="1" applyFill="1" applyBorder="1" applyAlignment="1">
      <alignment horizontal="center" vertical="center" wrapText="1"/>
    </xf>
    <xf numFmtId="176" fontId="2" fillId="5" borderId="3" xfId="0" applyNumberFormat="1" applyFont="1" applyFill="1" applyBorder="1" applyAlignment="1">
      <alignment horizontal="center" vertical="center" wrapText="1"/>
    </xf>
    <xf numFmtId="10" fontId="17" fillId="5" borderId="3" xfId="0" applyNumberFormat="1" applyFont="1" applyFill="1" applyBorder="1" applyAlignment="1">
      <alignment horizontal="center" vertical="center" wrapText="1"/>
    </xf>
    <xf numFmtId="0" fontId="18" fillId="0" borderId="3" xfId="0" applyFont="1" applyBorder="1" applyAlignment="1">
      <alignment vertical="center" wrapText="1"/>
    </xf>
    <xf numFmtId="0" fontId="19" fillId="0" borderId="3" xfId="0" applyFont="1" applyBorder="1" applyAlignment="1">
      <alignment vertical="center" wrapText="1"/>
    </xf>
    <xf numFmtId="0" fontId="15" fillId="0" borderId="3" xfId="0" applyFont="1" applyBorder="1" applyAlignment="1">
      <alignment vertical="center" wrapText="1"/>
    </xf>
    <xf numFmtId="0" fontId="16" fillId="2" borderId="3" xfId="0" applyFont="1" applyFill="1" applyBorder="1" applyAlignment="1">
      <alignment horizontal="center" vertical="center" wrapText="1"/>
    </xf>
    <xf numFmtId="0" fontId="20" fillId="10"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1" fillId="0" borderId="3" xfId="0" applyFont="1" applyBorder="1" applyAlignment="1">
      <alignment vertical="center" wrapText="1"/>
    </xf>
    <xf numFmtId="0" fontId="21" fillId="0" borderId="3" xfId="0" applyFont="1" applyBorder="1" applyAlignment="1">
      <alignment horizontal="left" vertical="center" wrapText="1"/>
    </xf>
    <xf numFmtId="0" fontId="21" fillId="5" borderId="3" xfId="0" applyFont="1" applyFill="1" applyBorder="1" applyAlignment="1">
      <alignment horizontal="center" vertical="center" wrapText="1"/>
    </xf>
    <xf numFmtId="0" fontId="13" fillId="0" borderId="3" xfId="0" applyFont="1" applyBorder="1" applyAlignment="1">
      <alignment horizontal="center" vertical="center" wrapText="1"/>
    </xf>
    <xf numFmtId="176" fontId="13" fillId="5" borderId="3" xfId="0" applyNumberFormat="1" applyFont="1" applyFill="1" applyBorder="1" applyAlignment="1">
      <alignment horizontal="center" vertical="center" wrapText="1"/>
    </xf>
    <xf numFmtId="176" fontId="13" fillId="0" borderId="3" xfId="0" applyNumberFormat="1" applyFont="1" applyBorder="1" applyAlignment="1">
      <alignment vertical="center"/>
    </xf>
    <xf numFmtId="0" fontId="13" fillId="0" borderId="3" xfId="0" applyFont="1" applyBorder="1" applyAlignment="1">
      <alignment horizontal="left" vertical="center" wrapText="1"/>
    </xf>
    <xf numFmtId="0" fontId="13" fillId="0" borderId="3" xfId="0" applyFont="1" applyBorder="1" applyAlignment="1">
      <alignment vertical="center"/>
    </xf>
    <xf numFmtId="0" fontId="13" fillId="0" borderId="3" xfId="0" applyFont="1" applyBorder="1" applyAlignment="1">
      <alignment vertical="center" wrapText="1"/>
    </xf>
    <xf numFmtId="0" fontId="22" fillId="0" borderId="3" xfId="0" applyFont="1" applyBorder="1" applyAlignment="1">
      <alignment wrapText="1"/>
    </xf>
    <xf numFmtId="0" fontId="2" fillId="6" borderId="3" xfId="0" applyFont="1" applyFill="1" applyBorder="1" applyAlignment="1">
      <alignment horizontal="center" vertical="center"/>
    </xf>
    <xf numFmtId="176" fontId="2" fillId="5" borderId="3" xfId="0" applyNumberFormat="1" applyFont="1" applyFill="1" applyBorder="1" applyAlignment="1">
      <alignment horizontal="center" vertical="center"/>
    </xf>
    <xf numFmtId="0" fontId="13" fillId="0" borderId="0" xfId="0" applyFont="1" applyAlignment="1">
      <alignment horizontal="left" vertical="center" wrapText="1"/>
    </xf>
    <xf numFmtId="0" fontId="1" fillId="2" borderId="10" xfId="0" applyFont="1" applyFill="1" applyBorder="1" applyAlignment="1">
      <alignment horizontal="center" vertical="center"/>
    </xf>
    <xf numFmtId="0" fontId="2" fillId="2" borderId="3" xfId="0" applyFont="1" applyFill="1" applyBorder="1" applyAlignment="1">
      <alignment horizontal="center" vertical="center"/>
    </xf>
    <xf numFmtId="0" fontId="2" fillId="6" borderId="3" xfId="0" applyFont="1" applyFill="1" applyBorder="1" applyAlignment="1">
      <alignment horizontal="left" vertical="center" wrapText="1"/>
    </xf>
    <xf numFmtId="178" fontId="2" fillId="5" borderId="3" xfId="0" applyNumberFormat="1" applyFont="1" applyFill="1" applyBorder="1" applyAlignment="1">
      <alignment horizontal="center" vertical="center" wrapText="1"/>
    </xf>
    <xf numFmtId="0" fontId="13" fillId="0" borderId="0" xfId="0" applyFont="1" applyAlignment="1">
      <alignment vertical="center" wrapText="1"/>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3" xfId="0" applyFont="1" applyFill="1" applyBorder="1" applyAlignment="1">
      <alignment horizontal="center" vertical="center"/>
    </xf>
    <xf numFmtId="177" fontId="2" fillId="5" borderId="3" xfId="0" applyNumberFormat="1" applyFont="1" applyFill="1" applyBorder="1" applyAlignment="1">
      <alignment horizontal="center" vertical="center"/>
    </xf>
    <xf numFmtId="0" fontId="2" fillId="6" borderId="3" xfId="0" applyFont="1" applyFill="1" applyBorder="1" applyAlignment="1">
      <alignment horizontal="left" vertical="center"/>
    </xf>
    <xf numFmtId="179" fontId="2" fillId="5" borderId="3" xfId="0" applyNumberFormat="1" applyFont="1" applyFill="1" applyBorder="1" applyAlignment="1">
      <alignment horizontal="center" vertical="center"/>
    </xf>
    <xf numFmtId="0" fontId="2" fillId="0" borderId="0" xfId="0" applyFont="1" applyAlignment="1">
      <alignment horizontal="left" vertical="center" wrapText="1"/>
    </xf>
    <xf numFmtId="0" fontId="2" fillId="11" borderId="10" xfId="0" applyFont="1" applyFill="1" applyBorder="1" applyAlignment="1">
      <alignment horizontal="center" vertical="center"/>
    </xf>
    <xf numFmtId="0" fontId="13" fillId="11" borderId="3" xfId="0" applyFont="1" applyFill="1" applyBorder="1" applyAlignment="1">
      <alignment vertical="center" wrapText="1"/>
    </xf>
    <xf numFmtId="0" fontId="2" fillId="11" borderId="10" xfId="0" applyFont="1" applyFill="1" applyBorder="1" applyAlignment="1">
      <alignment horizontal="center" vertical="center" wrapText="1"/>
    </xf>
    <xf numFmtId="0" fontId="2" fillId="11" borderId="12" xfId="0" applyFont="1" applyFill="1" applyBorder="1" applyAlignment="1">
      <alignment horizontal="center" vertical="center"/>
    </xf>
    <xf numFmtId="0" fontId="2" fillId="11" borderId="12" xfId="0" applyFont="1" applyFill="1" applyBorder="1" applyAlignment="1">
      <alignment horizontal="center" vertical="center" wrapText="1"/>
    </xf>
    <xf numFmtId="58" fontId="2" fillId="11" borderId="10" xfId="0" applyNumberFormat="1" applyFont="1" applyFill="1" applyBorder="1" applyAlignment="1">
      <alignment horizontal="center" vertical="center" wrapText="1"/>
    </xf>
    <xf numFmtId="58" fontId="2" fillId="11" borderId="10" xfId="0" applyNumberFormat="1"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6 2" xfId="50"/>
    <cellStyle name="常规 3" xfId="51"/>
    <cellStyle name="千位分隔 2 2 2 2" xfId="52"/>
  </cellStyles>
  <tableStyles count="0" defaultTableStyle="TableStyleMedium2" defaultPivotStyle="PivotStyleLight16"/>
  <colors>
    <mruColors>
      <color rgb="00C4D79B"/>
      <color rgb="00A6A6A6"/>
      <color rgb="00C4D7C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C19" sqref="C19"/>
    </sheetView>
  </sheetViews>
  <sheetFormatPr defaultColWidth="9" defaultRowHeight="13.5"/>
  <cols>
    <col min="1" max="1" width="9.50833333333333" style="2" customWidth="1"/>
    <col min="2" max="2" width="10.8333333333333" style="2" customWidth="1"/>
    <col min="3" max="3" width="42.5083333333333" style="2" customWidth="1"/>
    <col min="4" max="4" width="10.8333333333333" style="10" customWidth="1"/>
    <col min="5" max="5" width="4.83333333333333" style="2" customWidth="1"/>
    <col min="6" max="6" width="9" style="2"/>
    <col min="7" max="7" width="10.5083333333333" style="2" customWidth="1"/>
    <col min="8" max="8" width="45.5083333333333" style="2" customWidth="1"/>
    <col min="9" max="16384" width="9" style="2"/>
  </cols>
  <sheetData>
    <row r="1" ht="24" spans="1:9">
      <c r="A1" s="26" t="s">
        <v>0</v>
      </c>
      <c r="B1" s="27"/>
      <c r="C1" s="104" t="s">
        <v>1</v>
      </c>
      <c r="D1" s="105">
        <f>IF(项目特征!C1='模板使用说明&amp;基础参数'!H51,'模板使用说明&amp;基础参数'!I51,IF(项目特征!C1='模板使用说明&amp;基础参数'!H52,'模板使用说明&amp;基础参数'!I52,IF(项目特征!C1='模板使用说明&amp;基础参数'!H53,'模板使用说明&amp;基础参数'!I53,IF(项目特征!C1='模板使用说明&amp;基础参数'!H54,'模板使用说明&amp;基础参数'!I54,1))))</f>
        <v>1</v>
      </c>
      <c r="G1" s="1" t="s">
        <v>2</v>
      </c>
      <c r="H1" s="106" t="s">
        <v>3</v>
      </c>
    </row>
    <row r="2" ht="48" spans="1:9">
      <c r="A2" s="26" t="s">
        <v>4</v>
      </c>
      <c r="B2" s="27"/>
      <c r="C2" s="104" t="s">
        <v>5</v>
      </c>
      <c r="D2" s="105">
        <f>IF(C2="","",IF(C2='模板使用说明&amp;基础参数'!G10,'模板使用说明&amp;基础参数'!I10,IF(C2='模板使用说明&amp;基础参数'!G11,'模板使用说明&amp;基础参数'!I11,1)))</f>
        <v>10.74</v>
      </c>
      <c r="H2" s="106" t="s">
        <v>6</v>
      </c>
    </row>
    <row r="3" ht="27" spans="1:9">
      <c r="A3" s="107" t="s">
        <v>7</v>
      </c>
      <c r="B3" s="108" t="s">
        <v>8</v>
      </c>
      <c r="C3" s="109" t="s">
        <v>9</v>
      </c>
      <c r="D3" s="110">
        <f>IF(C3='模板使用说明&amp;基础参数'!H20,'模板使用说明&amp;基础参数'!I20,IF(C3='模板使用说明&amp;基础参数'!H21,'模板使用说明&amp;基础参数'!I21,IF(C3='模板使用说明&amp;基础参数'!H22,'模板使用说明&amp;基础参数'!I22,0)))</f>
        <v>0</v>
      </c>
      <c r="H3" s="111" t="s">
        <v>10</v>
      </c>
    </row>
    <row r="4" ht="36" spans="1:9">
      <c r="A4" s="112"/>
      <c r="B4" s="108" t="s">
        <v>11</v>
      </c>
      <c r="C4" s="109" t="s">
        <v>12</v>
      </c>
      <c r="D4" s="110">
        <f>IF(C4='模板使用说明&amp;基础参数'!H23,'模板使用说明&amp;基础参数'!I23,IF(C4='模板使用说明&amp;基础参数'!H24,'模板使用说明&amp;基础参数'!I24,IF(C4='模板使用说明&amp;基础参数'!H25,'模板使用说明&amp;基础参数'!I25,0)))</f>
        <v>0</v>
      </c>
      <c r="H4" s="111" t="s">
        <v>13</v>
      </c>
    </row>
    <row r="5" ht="24" spans="1:9">
      <c r="A5" s="112"/>
      <c r="B5" s="108" t="s">
        <v>14</v>
      </c>
      <c r="C5" s="109" t="s">
        <v>15</v>
      </c>
      <c r="D5" s="110">
        <f>IF(C5='模板使用说明&amp;基础参数'!H26,'模板使用说明&amp;基础参数'!I26,IF(C5='模板使用说明&amp;基础参数'!H27,'模板使用说明&amp;基础参数'!I27,IF(C5='模板使用说明&amp;基础参数'!H28,'模板使用说明&amp;基础参数'!I28,0)))</f>
        <v>0</v>
      </c>
      <c r="H5" s="111" t="s">
        <v>16</v>
      </c>
    </row>
    <row r="6" ht="36" spans="1:9">
      <c r="A6" s="113"/>
      <c r="B6" s="108" t="s">
        <v>17</v>
      </c>
      <c r="C6" s="109" t="s">
        <v>18</v>
      </c>
      <c r="D6" s="110">
        <f>IF(C6='模板使用说明&amp;基础参数'!H29,'模板使用说明&amp;基础参数'!I29,IF(C6='模板使用说明&amp;基础参数'!H30,'模板使用说明&amp;基础参数'!I30,IF(C6='模板使用说明&amp;基础参数'!H31,'模板使用说明&amp;基础参数'!I31,0)))</f>
        <v>0</v>
      </c>
      <c r="H6" s="111" t="s">
        <v>19</v>
      </c>
    </row>
    <row r="7" ht="24" spans="1:9">
      <c r="A7" s="114" t="s">
        <v>20</v>
      </c>
      <c r="B7" s="114"/>
      <c r="C7" s="109" t="s">
        <v>21</v>
      </c>
      <c r="D7" s="115">
        <f>IF(C7='模板使用说明&amp;基础参数'!H46,'模板使用说明&amp;基础参数'!I46,IF(C7='模板使用说明&amp;基础参数'!H47,'模板使用说明&amp;基础参数'!I47,IF(C7='模板使用说明&amp;基础参数'!H48,'模板使用说明&amp;基础参数'!I48,1)))</f>
        <v>1</v>
      </c>
      <c r="H7" s="111" t="s">
        <v>22</v>
      </c>
    </row>
    <row r="8" ht="24" spans="1:9">
      <c r="A8" s="114" t="s">
        <v>23</v>
      </c>
      <c r="B8" s="114"/>
      <c r="C8" s="116" t="s">
        <v>24</v>
      </c>
      <c r="D8" s="117">
        <f>IF(C8='模板使用说明&amp;基础参数'!H35,'模板使用说明&amp;基础参数'!I35,IF(C8='模板使用说明&amp;基础参数'!H36,'模板使用说明&amp;基础参数'!I36,IF(C8='模板使用说明&amp;基础参数'!H37,'模板使用说明&amp;基础参数'!I37,1)))</f>
        <v>1</v>
      </c>
      <c r="H8" s="111" t="s">
        <v>25</v>
      </c>
    </row>
    <row r="9" spans="1:9">
      <c r="A9" s="114" t="s">
        <v>26</v>
      </c>
      <c r="B9" s="114"/>
      <c r="C9" s="109" t="s">
        <v>27</v>
      </c>
      <c r="D9" s="117">
        <f>IF(C9='模板使用说明&amp;基础参数'!H41,'模板使用说明&amp;基础参数'!I41,IF(C9='模板使用说明&amp;基础参数'!H42,'模板使用说明&amp;基础参数'!I42,IF(C9='模板使用说明&amp;基础参数'!H43,'模板使用说明&amp;基础参数'!I43,1)))</f>
        <v>0.8</v>
      </c>
    </row>
    <row r="16" spans="1:9">
      <c r="G16" s="12" t="s">
        <v>28</v>
      </c>
      <c r="H16" s="12" t="s">
        <v>29</v>
      </c>
      <c r="I16" s="12" t="s">
        <v>30</v>
      </c>
    </row>
    <row r="17" spans="3:9">
      <c r="C17" s="118"/>
      <c r="G17" s="119" t="s">
        <v>31</v>
      </c>
      <c r="H17" s="120" t="s">
        <v>32</v>
      </c>
      <c r="I17" s="121">
        <v>1</v>
      </c>
    </row>
    <row r="18" ht="24" spans="3:9">
      <c r="C18" s="118"/>
      <c r="G18" s="122"/>
      <c r="H18" s="120" t="s">
        <v>33</v>
      </c>
      <c r="I18" s="123"/>
    </row>
    <row r="19" ht="27" customHeight="1" spans="3:9">
      <c r="G19" s="119" t="s">
        <v>34</v>
      </c>
      <c r="H19" s="120" t="s">
        <v>35</v>
      </c>
      <c r="I19" s="125" t="s">
        <v>36</v>
      </c>
    </row>
    <row r="20" ht="36" spans="3:9">
      <c r="G20" s="122"/>
      <c r="H20" s="120" t="s">
        <v>37</v>
      </c>
      <c r="I20" s="123"/>
    </row>
    <row r="21" ht="27" customHeight="1" spans="3:9">
      <c r="G21" s="119" t="s">
        <v>38</v>
      </c>
      <c r="H21" s="120" t="s">
        <v>39</v>
      </c>
      <c r="I21" s="125" t="s">
        <v>40</v>
      </c>
    </row>
    <row r="22" ht="24" spans="3:9">
      <c r="G22" s="122"/>
      <c r="H22" s="120" t="s">
        <v>41</v>
      </c>
      <c r="I22" s="123"/>
    </row>
  </sheetData>
  <mergeCells count="12">
    <mergeCell ref="A1:B1"/>
    <mergeCell ref="A2:B2"/>
    <mergeCell ref="A7:B7"/>
    <mergeCell ref="A8:B8"/>
    <mergeCell ref="A9:B9"/>
    <mergeCell ref="A3:A6"/>
    <mergeCell ref="G17:G18"/>
    <mergeCell ref="G19:G20"/>
    <mergeCell ref="G21:G22"/>
    <mergeCell ref="I17:I18"/>
    <mergeCell ref="I19:I20"/>
    <mergeCell ref="I21:I22"/>
  </mergeCells>
  <dataValidations count="9">
    <dataValidation type="list" allowBlank="1" showInputMessage="1" showErrorMessage="1" sqref="C1">
      <formula1>'模板使用说明&amp;基础参数'!$H$51:$H$54</formula1>
    </dataValidation>
    <dataValidation type="list" allowBlank="1" showInputMessage="1" showErrorMessage="1" sqref="C2">
      <formula1>'模板使用说明&amp;基础参数'!$G$10:$G$11</formula1>
    </dataValidation>
    <dataValidation type="list" allowBlank="1" showInputMessage="1" showErrorMessage="1" sqref="C3">
      <formula1>'模板使用说明&amp;基础参数'!$H$20:$H$22</formula1>
    </dataValidation>
    <dataValidation type="list" allowBlank="1" showInputMessage="1" showErrorMessage="1" sqref="C4">
      <formula1>'模板使用说明&amp;基础参数'!$H$23:$H$25</formula1>
    </dataValidation>
    <dataValidation type="list" allowBlank="1" showInputMessage="1" showErrorMessage="1" sqref="C5">
      <formula1>'模板使用说明&amp;基础参数'!$H$26:$H$28</formula1>
    </dataValidation>
    <dataValidation type="list" allowBlank="1" showInputMessage="1" showErrorMessage="1" sqref="C6">
      <formula1>'模板使用说明&amp;基础参数'!$H$29:$H$31</formula1>
    </dataValidation>
    <dataValidation type="list" allowBlank="1" showInputMessage="1" showErrorMessage="1" sqref="C7">
      <formula1>'模板使用说明&amp;基础参数'!$H$46:$H$48</formula1>
    </dataValidation>
    <dataValidation type="list" allowBlank="1" showInputMessage="1" showErrorMessage="1" sqref="C8">
      <formula1>'模板使用说明&amp;基础参数'!$H$35:$H$37</formula1>
    </dataValidation>
    <dataValidation type="list" allowBlank="1" showInputMessage="1" showErrorMessage="1" sqref="C9">
      <formula1>'模板使用说明&amp;基础参数'!$H$41:$H$43</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99"/>
  <sheetViews>
    <sheetView tabSelected="1" workbookViewId="0">
      <pane xSplit="7" ySplit="5" topLeftCell="H773" activePane="bottomRight" state="frozen"/>
      <selection/>
      <selection pane="topRight"/>
      <selection pane="bottomLeft"/>
      <selection pane="bottomRight" activeCell="S785" sqref="S785"/>
    </sheetView>
  </sheetViews>
  <sheetFormatPr defaultColWidth="9" defaultRowHeight="13.5"/>
  <cols>
    <col min="1" max="1" width="5.08333333333333" style="71" customWidth="1"/>
    <col min="2" max="2" width="13.5083333333333" style="71" customWidth="1"/>
    <col min="3" max="3" width="11.8333333333333" style="71" customWidth="1"/>
    <col min="4" max="4" width="15.75" style="72" customWidth="1"/>
    <col min="5" max="5" width="15.625" style="72" customWidth="1"/>
    <col min="6" max="6" width="81.625" style="73" customWidth="1"/>
    <col min="7" max="7" width="22.3333333333333" style="74" customWidth="1"/>
    <col min="8" max="9" width="6.50833333333333" style="2" customWidth="1"/>
    <col min="10" max="10" width="5.83333333333333" style="10" customWidth="1"/>
    <col min="11" max="11" width="5.58333333333333" style="10" customWidth="1"/>
    <col min="12" max="12" width="10.75" style="2" customWidth="1"/>
    <col min="13" max="13" width="23" style="2" customWidth="1"/>
    <col min="14" max="14" width="10.8333333333333" style="2" customWidth="1"/>
    <col min="15" max="15" width="16.8333333333333" style="2" customWidth="1"/>
    <col min="16" max="16384" width="9" style="2"/>
  </cols>
  <sheetData>
    <row r="1" spans="1:15">
      <c r="A1" s="75" t="s">
        <v>42</v>
      </c>
      <c r="B1" s="75"/>
      <c r="C1" s="76" t="s">
        <v>43</v>
      </c>
      <c r="D1" s="77" t="s">
        <v>44</v>
      </c>
      <c r="E1" s="78"/>
      <c r="F1" s="77"/>
      <c r="G1" s="78"/>
      <c r="H1" s="77"/>
      <c r="I1" s="77"/>
      <c r="J1" s="79"/>
      <c r="K1" s="79"/>
      <c r="L1" s="79"/>
      <c r="M1" s="79"/>
      <c r="N1" s="79"/>
      <c r="O1" s="79"/>
    </row>
    <row r="2" spans="1:15">
      <c r="A2" s="75" t="s">
        <v>45</v>
      </c>
      <c r="B2" s="75"/>
      <c r="C2" s="80">
        <f>SUM(I6:I100009)</f>
        <v>3665</v>
      </c>
      <c r="D2" s="77" t="s">
        <v>46</v>
      </c>
      <c r="E2" s="81"/>
      <c r="F2" s="77"/>
      <c r="G2" s="78"/>
      <c r="H2" s="77"/>
      <c r="I2" s="77"/>
      <c r="J2" s="79"/>
      <c r="K2" s="79"/>
      <c r="L2" s="82"/>
      <c r="M2" s="83"/>
      <c r="N2" s="84"/>
      <c r="O2" s="84"/>
    </row>
    <row r="3" spans="1:15">
      <c r="A3" s="75" t="s">
        <v>47</v>
      </c>
      <c r="B3" s="75"/>
      <c r="C3" s="80">
        <f>ROUND(SUM(L6:L100009),2)</f>
        <v>977.33</v>
      </c>
      <c r="D3" s="77"/>
      <c r="E3" s="81"/>
      <c r="F3" s="77"/>
      <c r="G3" s="78"/>
      <c r="H3" s="77"/>
      <c r="I3" s="77"/>
      <c r="J3" s="79"/>
      <c r="K3" s="79"/>
      <c r="L3" s="85">
        <f>C3</f>
        <v>977.33</v>
      </c>
      <c r="M3" s="83"/>
      <c r="N3" s="86"/>
      <c r="O3" s="87"/>
    </row>
    <row r="4" s="69" customFormat="1" ht="90" spans="1:15">
      <c r="A4" s="88" t="s">
        <v>2</v>
      </c>
      <c r="B4" s="89" t="s">
        <v>48</v>
      </c>
      <c r="C4" s="89" t="s">
        <v>48</v>
      </c>
      <c r="D4" s="89" t="s">
        <v>48</v>
      </c>
      <c r="E4" s="89" t="s">
        <v>48</v>
      </c>
      <c r="F4" s="90" t="s">
        <v>49</v>
      </c>
      <c r="G4" s="89" t="s">
        <v>50</v>
      </c>
      <c r="H4" s="89" t="s">
        <v>51</v>
      </c>
      <c r="I4" s="89" t="s">
        <v>52</v>
      </c>
      <c r="J4" s="89" t="s">
        <v>53</v>
      </c>
      <c r="K4" s="89" t="s">
        <v>54</v>
      </c>
      <c r="L4" s="89" t="s">
        <v>52</v>
      </c>
      <c r="M4" s="89" t="s">
        <v>55</v>
      </c>
      <c r="N4" s="89" t="s">
        <v>56</v>
      </c>
      <c r="O4" s="89" t="s">
        <v>57</v>
      </c>
    </row>
    <row r="5" ht="27" spans="1:15">
      <c r="A5" s="91" t="s">
        <v>58</v>
      </c>
      <c r="B5" s="91" t="s">
        <v>59</v>
      </c>
      <c r="C5" s="91" t="s">
        <v>60</v>
      </c>
      <c r="D5" s="91" t="s">
        <v>61</v>
      </c>
      <c r="E5" s="91" t="s">
        <v>62</v>
      </c>
      <c r="F5" s="91" t="s">
        <v>63</v>
      </c>
      <c r="G5" s="91" t="s">
        <v>64</v>
      </c>
      <c r="H5" s="91" t="s">
        <v>65</v>
      </c>
      <c r="I5" s="91" t="s">
        <v>66</v>
      </c>
      <c r="J5" s="91" t="s">
        <v>28</v>
      </c>
      <c r="K5" s="91" t="s">
        <v>67</v>
      </c>
      <c r="L5" s="91" t="s">
        <v>68</v>
      </c>
      <c r="M5" s="91" t="s">
        <v>69</v>
      </c>
      <c r="N5" s="92" t="s">
        <v>70</v>
      </c>
      <c r="O5" s="92" t="s">
        <v>71</v>
      </c>
    </row>
    <row r="6" s="70" customFormat="1" ht="25" customHeight="1" spans="1:15">
      <c r="A6" s="93">
        <v>1</v>
      </c>
      <c r="B6" s="94" t="s">
        <v>72</v>
      </c>
      <c r="C6" s="95" t="s">
        <v>73</v>
      </c>
      <c r="D6" s="95" t="s">
        <v>74</v>
      </c>
      <c r="E6" s="95" t="s">
        <v>74</v>
      </c>
      <c r="F6" s="95" t="s">
        <v>75</v>
      </c>
      <c r="G6" s="95" t="s">
        <v>76</v>
      </c>
      <c r="H6" s="93" t="s">
        <v>77</v>
      </c>
      <c r="I6" s="96">
        <f>IF(H6="ILF",IF($C$1="预估功能点",'模板使用说明&amp;基础参数'!$E$15,7),IF(H6="EIF",IF($C$1="预估功能点",'模板使用说明&amp;基础参数'!$E$16,5),IF(H6="EI",IF($C$1="预估功能点",'模板使用说明&amp;基础参数'!$E$17,'模板使用说明&amp;基础参数'!$E$24),IF(H6="EO",IF($C$1="预估功能点",'模板使用说明&amp;基础参数'!$E$18,'模板使用说明&amp;基础参数'!$E$25),IF(H6="EQ",IF($C$1="预估功能点",'模板使用说明&amp;基础参数'!$E$19,'模板使用说明&amp;基础参数'!$E$26),"")))))</f>
        <v>7</v>
      </c>
      <c r="J6" s="97" t="s">
        <v>38</v>
      </c>
      <c r="K6" s="97" t="s">
        <v>78</v>
      </c>
      <c r="L6" s="98">
        <f>IF(I6="","",IF(J6="高",IF(K6="删除",I6*'模板使用说明&amp;基础参数'!$E$5*'模板使用说明&amp;基础参数'!$E$12,IF(K6="修改",I6*'模板使用说明&amp;基础参数'!$E$5*'模板使用说明&amp;基础参数'!$E$11,I6*'模板使用说明&amp;基础参数'!$E$5*'模板使用说明&amp;基础参数'!$E$10)),IF(J6="中",IF(K6="删除",I6*'模板使用说明&amp;基础参数'!$E$6*'模板使用说明&amp;基础参数'!$E$12,IF(K6="修改",I6*'模板使用说明&amp;基础参数'!$E$6*'模板使用说明&amp;基础参数'!$E$11,I6*'模板使用说明&amp;基础参数'!$E$6*'模板使用说明&amp;基础参数'!$E$10)),IF(K6="删除",I6*'模板使用说明&amp;基础参数'!$E$7*'模板使用说明&amp;基础参数'!$E$12,IF(K6="修改",I6*'模板使用说明&amp;基础参数'!$E$7*'模板使用说明&amp;基础参数'!$E$11,I6*'模板使用说明&amp;基础参数'!$E$7*'模板使用说明&amp;基础参数'!$E$10)))))</f>
        <v>1.86666666666666</v>
      </c>
      <c r="M6" s="95"/>
      <c r="N6" s="99"/>
      <c r="O6" s="100"/>
    </row>
    <row r="7" s="70" customFormat="1" ht="25" customHeight="1" spans="1:15">
      <c r="A7" s="93">
        <v>2</v>
      </c>
      <c r="B7" s="94" t="s">
        <v>72</v>
      </c>
      <c r="C7" s="95" t="s">
        <v>73</v>
      </c>
      <c r="D7" s="95" t="s">
        <v>74</v>
      </c>
      <c r="E7" s="95" t="s">
        <v>74</v>
      </c>
      <c r="F7" s="95" t="s">
        <v>79</v>
      </c>
      <c r="G7" s="95" t="s">
        <v>80</v>
      </c>
      <c r="H7" s="93" t="s">
        <v>81</v>
      </c>
      <c r="I7" s="96">
        <f>IF(H7="ILF",IF($C$1="预估功能点",'模板使用说明&amp;基础参数'!$E$15,7),IF(H7="EIF",IF($C$1="预估功能点",'模板使用说明&amp;基础参数'!$E$16,5),IF(H7="EI",IF($C$1="预估功能点",'模板使用说明&amp;基础参数'!$E$17,'模板使用说明&amp;基础参数'!$E$24),IF(H7="EO",IF($C$1="预估功能点",'模板使用说明&amp;基础参数'!$E$18,'模板使用说明&amp;基础参数'!$E$25),IF(H7="EQ",IF($C$1="预估功能点",'模板使用说明&amp;基础参数'!$E$19,'模板使用说明&amp;基础参数'!$E$26),"")))))</f>
        <v>4</v>
      </c>
      <c r="J7" s="97" t="s">
        <v>38</v>
      </c>
      <c r="K7" s="97" t="s">
        <v>78</v>
      </c>
      <c r="L7" s="98">
        <f>IF(I7="","",IF(J7="高",IF(K7="删除",I7*'模板使用说明&amp;基础参数'!$E$5*'模板使用说明&amp;基础参数'!$E$12,IF(K7="修改",I7*'模板使用说明&amp;基础参数'!$E$5*'模板使用说明&amp;基础参数'!$E$11,I7*'模板使用说明&amp;基础参数'!$E$5*'模板使用说明&amp;基础参数'!$E$10)),IF(J7="中",IF(K7="删除",I7*'模板使用说明&amp;基础参数'!$E$6*'模板使用说明&amp;基础参数'!$E$12,IF(K7="修改",I7*'模板使用说明&amp;基础参数'!$E$6*'模板使用说明&amp;基础参数'!$E$11,I7*'模板使用说明&amp;基础参数'!$E$6*'模板使用说明&amp;基础参数'!$E$10)),IF(K7="删除",I7*'模板使用说明&amp;基础参数'!$E$7*'模板使用说明&amp;基础参数'!$E$12,IF(K7="修改",I7*'模板使用说明&amp;基础参数'!$E$7*'模板使用说明&amp;基础参数'!$E$11,I7*'模板使用说明&amp;基础参数'!$E$7*'模板使用说明&amp;基础参数'!$E$10)))))</f>
        <v>1.06666666666667</v>
      </c>
      <c r="M7" s="95"/>
      <c r="N7" s="99"/>
      <c r="O7" s="100"/>
    </row>
    <row r="8" s="70" customFormat="1" ht="25" customHeight="1" spans="1:15">
      <c r="A8" s="93">
        <v>3</v>
      </c>
      <c r="B8" s="94" t="s">
        <v>72</v>
      </c>
      <c r="C8" s="95" t="s">
        <v>73</v>
      </c>
      <c r="D8" s="95" t="s">
        <v>74</v>
      </c>
      <c r="E8" s="95" t="s">
        <v>74</v>
      </c>
      <c r="F8" s="95" t="s">
        <v>82</v>
      </c>
      <c r="G8" s="95" t="s">
        <v>83</v>
      </c>
      <c r="H8" s="93" t="s">
        <v>84</v>
      </c>
      <c r="I8" s="96">
        <f>IF(H8="ILF",IF($C$1="预估功能点",'模板使用说明&amp;基础参数'!$E$15,7),IF(H8="EIF",IF($C$1="预估功能点",'模板使用说明&amp;基础参数'!$E$16,5),IF(H8="EI",IF($C$1="预估功能点",'模板使用说明&amp;基础参数'!$E$17,'模板使用说明&amp;基础参数'!$E$24),IF(H8="EO",IF($C$1="预估功能点",'模板使用说明&amp;基础参数'!$E$18,'模板使用说明&amp;基础参数'!$E$25),IF(H8="EQ",IF($C$1="预估功能点",'模板使用说明&amp;基础参数'!$E$19,'模板使用说明&amp;基础参数'!$E$26),"")))))</f>
        <v>4</v>
      </c>
      <c r="J8" s="97" t="s">
        <v>38</v>
      </c>
      <c r="K8" s="97" t="s">
        <v>78</v>
      </c>
      <c r="L8" s="98">
        <f>IF(I8="","",IF(J8="高",IF(K8="删除",I8*'模板使用说明&amp;基础参数'!$E$5*'模板使用说明&amp;基础参数'!$E$12,IF(K8="修改",I8*'模板使用说明&amp;基础参数'!$E$5*'模板使用说明&amp;基础参数'!$E$11,I8*'模板使用说明&amp;基础参数'!$E$5*'模板使用说明&amp;基础参数'!$E$10)),IF(J8="中",IF(K8="删除",I8*'模板使用说明&amp;基础参数'!$E$6*'模板使用说明&amp;基础参数'!$E$12,IF(K8="修改",I8*'模板使用说明&amp;基础参数'!$E$6*'模板使用说明&amp;基础参数'!$E$11,I8*'模板使用说明&amp;基础参数'!$E$6*'模板使用说明&amp;基础参数'!$E$10)),IF(K8="删除",I8*'模板使用说明&amp;基础参数'!$E$7*'模板使用说明&amp;基础参数'!$E$12,IF(K8="修改",I8*'模板使用说明&amp;基础参数'!$E$7*'模板使用说明&amp;基础参数'!$E$11,I8*'模板使用说明&amp;基础参数'!$E$7*'模板使用说明&amp;基础参数'!$E$10)))))</f>
        <v>1.06666666666667</v>
      </c>
      <c r="M8" s="95"/>
      <c r="N8" s="99"/>
      <c r="O8" s="100"/>
    </row>
    <row r="9" s="70" customFormat="1" ht="25" customHeight="1" spans="1:15">
      <c r="A9" s="93">
        <v>4</v>
      </c>
      <c r="B9" s="94" t="s">
        <v>72</v>
      </c>
      <c r="C9" s="95" t="s">
        <v>73</v>
      </c>
      <c r="D9" s="95" t="s">
        <v>74</v>
      </c>
      <c r="E9" s="95" t="s">
        <v>74</v>
      </c>
      <c r="F9" s="95" t="s">
        <v>85</v>
      </c>
      <c r="G9" s="95" t="s">
        <v>86</v>
      </c>
      <c r="H9" s="93" t="s">
        <v>84</v>
      </c>
      <c r="I9" s="96">
        <f>IF(H9="ILF",IF($C$1="预估功能点",'模板使用说明&amp;基础参数'!$E$15,7),IF(H9="EIF",IF($C$1="预估功能点",'模板使用说明&amp;基础参数'!$E$16,5),IF(H9="EI",IF($C$1="预估功能点",'模板使用说明&amp;基础参数'!$E$17,'模板使用说明&amp;基础参数'!$E$24),IF(H9="EO",IF($C$1="预估功能点",'模板使用说明&amp;基础参数'!$E$18,'模板使用说明&amp;基础参数'!$E$25),IF(H9="EQ",IF($C$1="预估功能点",'模板使用说明&amp;基础参数'!$E$19,'模板使用说明&amp;基础参数'!$E$26),"")))))</f>
        <v>4</v>
      </c>
      <c r="J9" s="97" t="s">
        <v>38</v>
      </c>
      <c r="K9" s="97" t="s">
        <v>78</v>
      </c>
      <c r="L9" s="98">
        <f>IF(I9="","",IF(J9="高",IF(K9="删除",I9*'模板使用说明&amp;基础参数'!$E$5*'模板使用说明&amp;基础参数'!$E$12,IF(K9="修改",I9*'模板使用说明&amp;基础参数'!$E$5*'模板使用说明&amp;基础参数'!$E$11,I9*'模板使用说明&amp;基础参数'!$E$5*'模板使用说明&amp;基础参数'!$E$10)),IF(J9="中",IF(K9="删除",I9*'模板使用说明&amp;基础参数'!$E$6*'模板使用说明&amp;基础参数'!$E$12,IF(K9="修改",I9*'模板使用说明&amp;基础参数'!$E$6*'模板使用说明&amp;基础参数'!$E$11,I9*'模板使用说明&amp;基础参数'!$E$6*'模板使用说明&amp;基础参数'!$E$10)),IF(K9="删除",I9*'模板使用说明&amp;基础参数'!$E$7*'模板使用说明&amp;基础参数'!$E$12,IF(K9="修改",I9*'模板使用说明&amp;基础参数'!$E$7*'模板使用说明&amp;基础参数'!$E$11,I9*'模板使用说明&amp;基础参数'!$E$7*'模板使用说明&amp;基础参数'!$E$10)))))</f>
        <v>1.06666666666667</v>
      </c>
      <c r="M9" s="95"/>
      <c r="N9" s="99"/>
      <c r="O9" s="100"/>
    </row>
    <row r="10" s="70" customFormat="1" ht="25" customHeight="1" spans="1:15">
      <c r="A10" s="93">
        <v>5</v>
      </c>
      <c r="B10" s="94" t="s">
        <v>72</v>
      </c>
      <c r="C10" s="95" t="s">
        <v>73</v>
      </c>
      <c r="D10" s="95" t="s">
        <v>74</v>
      </c>
      <c r="E10" s="95" t="s">
        <v>74</v>
      </c>
      <c r="F10" s="95" t="s">
        <v>87</v>
      </c>
      <c r="G10" s="95" t="s">
        <v>88</v>
      </c>
      <c r="H10" s="93" t="s">
        <v>84</v>
      </c>
      <c r="I10" s="96">
        <f>IF(H10="ILF",IF($C$1="预估功能点",'模板使用说明&amp;基础参数'!$E$15,7),IF(H10="EIF",IF($C$1="预估功能点",'模板使用说明&amp;基础参数'!$E$16,5),IF(H10="EI",IF($C$1="预估功能点",'模板使用说明&amp;基础参数'!$E$17,'模板使用说明&amp;基础参数'!$E$24),IF(H10="EO",IF($C$1="预估功能点",'模板使用说明&amp;基础参数'!$E$18,'模板使用说明&amp;基础参数'!$E$25),IF(H10="EQ",IF($C$1="预估功能点",'模板使用说明&amp;基础参数'!$E$19,'模板使用说明&amp;基础参数'!$E$26),"")))))</f>
        <v>4</v>
      </c>
      <c r="J10" s="97" t="s">
        <v>38</v>
      </c>
      <c r="K10" s="97" t="s">
        <v>78</v>
      </c>
      <c r="L10" s="98">
        <f>IF(I10="","",IF(J10="高",IF(K10="删除",I10*'模板使用说明&amp;基础参数'!$E$5*'模板使用说明&amp;基础参数'!$E$12,IF(K10="修改",I10*'模板使用说明&amp;基础参数'!$E$5*'模板使用说明&amp;基础参数'!$E$11,I10*'模板使用说明&amp;基础参数'!$E$5*'模板使用说明&amp;基础参数'!$E$10)),IF(J10="中",IF(K10="删除",I10*'模板使用说明&amp;基础参数'!$E$6*'模板使用说明&amp;基础参数'!$E$12,IF(K10="修改",I10*'模板使用说明&amp;基础参数'!$E$6*'模板使用说明&amp;基础参数'!$E$11,I10*'模板使用说明&amp;基础参数'!$E$6*'模板使用说明&amp;基础参数'!$E$10)),IF(K10="删除",I10*'模板使用说明&amp;基础参数'!$E$7*'模板使用说明&amp;基础参数'!$E$12,IF(K10="修改",I10*'模板使用说明&amp;基础参数'!$E$7*'模板使用说明&amp;基础参数'!$E$11,I10*'模板使用说明&amp;基础参数'!$E$7*'模板使用说明&amp;基础参数'!$E$10)))))</f>
        <v>1.06666666666667</v>
      </c>
      <c r="M10" s="95"/>
      <c r="N10" s="99"/>
      <c r="O10" s="100"/>
    </row>
    <row r="11" s="70" customFormat="1" ht="25" customHeight="1" spans="1:15">
      <c r="A11" s="93">
        <v>6</v>
      </c>
      <c r="B11" s="94" t="s">
        <v>72</v>
      </c>
      <c r="C11" s="95" t="s">
        <v>73</v>
      </c>
      <c r="D11" s="95" t="s">
        <v>74</v>
      </c>
      <c r="E11" s="95" t="s">
        <v>74</v>
      </c>
      <c r="F11" s="95" t="s">
        <v>89</v>
      </c>
      <c r="G11" s="95" t="s">
        <v>90</v>
      </c>
      <c r="H11" s="93" t="s">
        <v>77</v>
      </c>
      <c r="I11" s="96">
        <f>IF(H11="ILF",IF($C$1="预估功能点",'模板使用说明&amp;基础参数'!$E$15,7),IF(H11="EIF",IF($C$1="预估功能点",'模板使用说明&amp;基础参数'!$E$16,5),IF(H11="EI",IF($C$1="预估功能点",'模板使用说明&amp;基础参数'!$E$17,'模板使用说明&amp;基础参数'!$E$24),IF(H11="EO",IF($C$1="预估功能点",'模板使用说明&amp;基础参数'!$E$18,'模板使用说明&amp;基础参数'!$E$25),IF(H11="EQ",IF($C$1="预估功能点",'模板使用说明&amp;基础参数'!$E$19,'模板使用说明&amp;基础参数'!$E$26),"")))))</f>
        <v>7</v>
      </c>
      <c r="J11" s="97" t="s">
        <v>38</v>
      </c>
      <c r="K11" s="97" t="s">
        <v>78</v>
      </c>
      <c r="L11" s="98">
        <f>IF(I11="","",IF(J11="高",IF(K11="删除",I11*'模板使用说明&amp;基础参数'!$E$5*'模板使用说明&amp;基础参数'!$E$12,IF(K11="修改",I11*'模板使用说明&amp;基础参数'!$E$5*'模板使用说明&amp;基础参数'!$E$11,I11*'模板使用说明&amp;基础参数'!$E$5*'模板使用说明&amp;基础参数'!$E$10)),IF(J11="中",IF(K11="删除",I11*'模板使用说明&amp;基础参数'!$E$6*'模板使用说明&amp;基础参数'!$E$12,IF(K11="修改",I11*'模板使用说明&amp;基础参数'!$E$6*'模板使用说明&amp;基础参数'!$E$11,I11*'模板使用说明&amp;基础参数'!$E$6*'模板使用说明&amp;基础参数'!$E$10)),IF(K11="删除",I11*'模板使用说明&amp;基础参数'!$E$7*'模板使用说明&amp;基础参数'!$E$12,IF(K11="修改",I11*'模板使用说明&amp;基础参数'!$E$7*'模板使用说明&amp;基础参数'!$E$11,I11*'模板使用说明&amp;基础参数'!$E$7*'模板使用说明&amp;基础参数'!$E$10)))))</f>
        <v>1.86666666666666</v>
      </c>
      <c r="M11" s="95"/>
      <c r="N11" s="99"/>
      <c r="O11" s="100"/>
    </row>
    <row r="12" s="70" customFormat="1" ht="25" customHeight="1" spans="1:15">
      <c r="A12" s="93">
        <v>7</v>
      </c>
      <c r="B12" s="94" t="s">
        <v>72</v>
      </c>
      <c r="C12" s="95" t="s">
        <v>73</v>
      </c>
      <c r="D12" s="95" t="s">
        <v>74</v>
      </c>
      <c r="E12" s="95" t="s">
        <v>74</v>
      </c>
      <c r="F12" s="95" t="s">
        <v>91</v>
      </c>
      <c r="G12" s="95" t="s">
        <v>92</v>
      </c>
      <c r="H12" s="93" t="s">
        <v>81</v>
      </c>
      <c r="I12" s="96">
        <f>IF(H12="ILF",IF($C$1="预估功能点",'模板使用说明&amp;基础参数'!$E$15,7),IF(H12="EIF",IF($C$1="预估功能点",'模板使用说明&amp;基础参数'!$E$16,5),IF(H12="EI",IF($C$1="预估功能点",'模板使用说明&amp;基础参数'!$E$17,'模板使用说明&amp;基础参数'!$E$24),IF(H12="EO",IF($C$1="预估功能点",'模板使用说明&amp;基础参数'!$E$18,'模板使用说明&amp;基础参数'!$E$25),IF(H12="EQ",IF($C$1="预估功能点",'模板使用说明&amp;基础参数'!$E$19,'模板使用说明&amp;基础参数'!$E$26),"")))))</f>
        <v>4</v>
      </c>
      <c r="J12" s="97" t="s">
        <v>38</v>
      </c>
      <c r="K12" s="97" t="s">
        <v>78</v>
      </c>
      <c r="L12" s="98">
        <f>IF(I12="","",IF(J12="高",IF(K12="删除",I12*'模板使用说明&amp;基础参数'!$E$5*'模板使用说明&amp;基础参数'!$E$12,IF(K12="修改",I12*'模板使用说明&amp;基础参数'!$E$5*'模板使用说明&amp;基础参数'!$E$11,I12*'模板使用说明&amp;基础参数'!$E$5*'模板使用说明&amp;基础参数'!$E$10)),IF(J12="中",IF(K12="删除",I12*'模板使用说明&amp;基础参数'!$E$6*'模板使用说明&amp;基础参数'!$E$12,IF(K12="修改",I12*'模板使用说明&amp;基础参数'!$E$6*'模板使用说明&amp;基础参数'!$E$11,I12*'模板使用说明&amp;基础参数'!$E$6*'模板使用说明&amp;基础参数'!$E$10)),IF(K12="删除",I12*'模板使用说明&amp;基础参数'!$E$7*'模板使用说明&amp;基础参数'!$E$12,IF(K12="修改",I12*'模板使用说明&amp;基础参数'!$E$7*'模板使用说明&amp;基础参数'!$E$11,I12*'模板使用说明&amp;基础参数'!$E$7*'模板使用说明&amp;基础参数'!$E$10)))))</f>
        <v>1.06666666666667</v>
      </c>
      <c r="M12" s="95"/>
      <c r="N12" s="99"/>
      <c r="O12" s="100"/>
    </row>
    <row r="13" s="70" customFormat="1" ht="25" customHeight="1" spans="1:15">
      <c r="A13" s="93">
        <v>8</v>
      </c>
      <c r="B13" s="94" t="s">
        <v>72</v>
      </c>
      <c r="C13" s="95" t="s">
        <v>73</v>
      </c>
      <c r="D13" s="95" t="s">
        <v>74</v>
      </c>
      <c r="E13" s="95" t="s">
        <v>74</v>
      </c>
      <c r="F13" s="95" t="s">
        <v>93</v>
      </c>
      <c r="G13" s="95" t="s">
        <v>94</v>
      </c>
      <c r="H13" s="93" t="s">
        <v>84</v>
      </c>
      <c r="I13" s="96">
        <f>IF(H13="ILF",IF($C$1="预估功能点",'模板使用说明&amp;基础参数'!$E$15,7),IF(H13="EIF",IF($C$1="预估功能点",'模板使用说明&amp;基础参数'!$E$16,5),IF(H13="EI",IF($C$1="预估功能点",'模板使用说明&amp;基础参数'!$E$17,'模板使用说明&amp;基础参数'!$E$24),IF(H13="EO",IF($C$1="预估功能点",'模板使用说明&amp;基础参数'!$E$18,'模板使用说明&amp;基础参数'!$E$25),IF(H13="EQ",IF($C$1="预估功能点",'模板使用说明&amp;基础参数'!$E$19,'模板使用说明&amp;基础参数'!$E$26),"")))))</f>
        <v>4</v>
      </c>
      <c r="J13" s="97" t="s">
        <v>38</v>
      </c>
      <c r="K13" s="97" t="s">
        <v>78</v>
      </c>
      <c r="L13" s="98">
        <f>IF(I13="","",IF(J13="高",IF(K13="删除",I13*'模板使用说明&amp;基础参数'!$E$5*'模板使用说明&amp;基础参数'!$E$12,IF(K13="修改",I13*'模板使用说明&amp;基础参数'!$E$5*'模板使用说明&amp;基础参数'!$E$11,I13*'模板使用说明&amp;基础参数'!$E$5*'模板使用说明&amp;基础参数'!$E$10)),IF(J13="中",IF(K13="删除",I13*'模板使用说明&amp;基础参数'!$E$6*'模板使用说明&amp;基础参数'!$E$12,IF(K13="修改",I13*'模板使用说明&amp;基础参数'!$E$6*'模板使用说明&amp;基础参数'!$E$11,I13*'模板使用说明&amp;基础参数'!$E$6*'模板使用说明&amp;基础参数'!$E$10)),IF(K13="删除",I13*'模板使用说明&amp;基础参数'!$E$7*'模板使用说明&amp;基础参数'!$E$12,IF(K13="修改",I13*'模板使用说明&amp;基础参数'!$E$7*'模板使用说明&amp;基础参数'!$E$11,I13*'模板使用说明&amp;基础参数'!$E$7*'模板使用说明&amp;基础参数'!$E$10)))))</f>
        <v>1.06666666666667</v>
      </c>
      <c r="M13" s="95"/>
      <c r="N13" s="99"/>
      <c r="O13" s="100"/>
    </row>
    <row r="14" s="70" customFormat="1" ht="25" customHeight="1" spans="1:15">
      <c r="A14" s="93">
        <v>9</v>
      </c>
      <c r="B14" s="94" t="s">
        <v>72</v>
      </c>
      <c r="C14" s="95" t="s">
        <v>73</v>
      </c>
      <c r="D14" s="95" t="s">
        <v>74</v>
      </c>
      <c r="E14" s="95" t="s">
        <v>74</v>
      </c>
      <c r="F14" s="95" t="s">
        <v>95</v>
      </c>
      <c r="G14" s="95" t="s">
        <v>96</v>
      </c>
      <c r="H14" s="93" t="s">
        <v>84</v>
      </c>
      <c r="I14" s="96">
        <f>IF(H14="ILF",IF($C$1="预估功能点",'模板使用说明&amp;基础参数'!$E$15,7),IF(H14="EIF",IF($C$1="预估功能点",'模板使用说明&amp;基础参数'!$E$16,5),IF(H14="EI",IF($C$1="预估功能点",'模板使用说明&amp;基础参数'!$E$17,'模板使用说明&amp;基础参数'!$E$24),IF(H14="EO",IF($C$1="预估功能点",'模板使用说明&amp;基础参数'!$E$18,'模板使用说明&amp;基础参数'!$E$25),IF(H14="EQ",IF($C$1="预估功能点",'模板使用说明&amp;基础参数'!$E$19,'模板使用说明&amp;基础参数'!$E$26),"")))))</f>
        <v>4</v>
      </c>
      <c r="J14" s="97" t="s">
        <v>38</v>
      </c>
      <c r="K14" s="97" t="s">
        <v>78</v>
      </c>
      <c r="L14" s="98">
        <f>IF(I14="","",IF(J14="高",IF(K14="删除",I14*'模板使用说明&amp;基础参数'!$E$5*'模板使用说明&amp;基础参数'!$E$12,IF(K14="修改",I14*'模板使用说明&amp;基础参数'!$E$5*'模板使用说明&amp;基础参数'!$E$11,I14*'模板使用说明&amp;基础参数'!$E$5*'模板使用说明&amp;基础参数'!$E$10)),IF(J14="中",IF(K14="删除",I14*'模板使用说明&amp;基础参数'!$E$6*'模板使用说明&amp;基础参数'!$E$12,IF(K14="修改",I14*'模板使用说明&amp;基础参数'!$E$6*'模板使用说明&amp;基础参数'!$E$11,I14*'模板使用说明&amp;基础参数'!$E$6*'模板使用说明&amp;基础参数'!$E$10)),IF(K14="删除",I14*'模板使用说明&amp;基础参数'!$E$7*'模板使用说明&amp;基础参数'!$E$12,IF(K14="修改",I14*'模板使用说明&amp;基础参数'!$E$7*'模板使用说明&amp;基础参数'!$E$11,I14*'模板使用说明&amp;基础参数'!$E$7*'模板使用说明&amp;基础参数'!$E$10)))))</f>
        <v>1.06666666666667</v>
      </c>
      <c r="M14" s="95"/>
      <c r="N14" s="99"/>
      <c r="O14" s="100"/>
    </row>
    <row r="15" s="70" customFormat="1" ht="25" customHeight="1" spans="1:15">
      <c r="A15" s="93">
        <v>10</v>
      </c>
      <c r="B15" s="94" t="s">
        <v>72</v>
      </c>
      <c r="C15" s="95" t="s">
        <v>73</v>
      </c>
      <c r="D15" s="95" t="s">
        <v>74</v>
      </c>
      <c r="E15" s="95" t="s">
        <v>74</v>
      </c>
      <c r="F15" s="95" t="s">
        <v>97</v>
      </c>
      <c r="G15" s="95" t="s">
        <v>98</v>
      </c>
      <c r="H15" s="93" t="s">
        <v>84</v>
      </c>
      <c r="I15" s="96">
        <f>IF(H15="ILF",IF($C$1="预估功能点",'模板使用说明&amp;基础参数'!$E$15,7),IF(H15="EIF",IF($C$1="预估功能点",'模板使用说明&amp;基础参数'!$E$16,5),IF(H15="EI",IF($C$1="预估功能点",'模板使用说明&amp;基础参数'!$E$17,'模板使用说明&amp;基础参数'!$E$24),IF(H15="EO",IF($C$1="预估功能点",'模板使用说明&amp;基础参数'!$E$18,'模板使用说明&amp;基础参数'!$E$25),IF(H15="EQ",IF($C$1="预估功能点",'模板使用说明&amp;基础参数'!$E$19,'模板使用说明&amp;基础参数'!$E$26),"")))))</f>
        <v>4</v>
      </c>
      <c r="J15" s="97" t="s">
        <v>38</v>
      </c>
      <c r="K15" s="97" t="s">
        <v>78</v>
      </c>
      <c r="L15" s="98">
        <f>IF(I15="","",IF(J15="高",IF(K15="删除",I15*'模板使用说明&amp;基础参数'!$E$5*'模板使用说明&amp;基础参数'!$E$12,IF(K15="修改",I15*'模板使用说明&amp;基础参数'!$E$5*'模板使用说明&amp;基础参数'!$E$11,I15*'模板使用说明&amp;基础参数'!$E$5*'模板使用说明&amp;基础参数'!$E$10)),IF(J15="中",IF(K15="删除",I15*'模板使用说明&amp;基础参数'!$E$6*'模板使用说明&amp;基础参数'!$E$12,IF(K15="修改",I15*'模板使用说明&amp;基础参数'!$E$6*'模板使用说明&amp;基础参数'!$E$11,I15*'模板使用说明&amp;基础参数'!$E$6*'模板使用说明&amp;基础参数'!$E$10)),IF(K15="删除",I15*'模板使用说明&amp;基础参数'!$E$7*'模板使用说明&amp;基础参数'!$E$12,IF(K15="修改",I15*'模板使用说明&amp;基础参数'!$E$7*'模板使用说明&amp;基础参数'!$E$11,I15*'模板使用说明&amp;基础参数'!$E$7*'模板使用说明&amp;基础参数'!$E$10)))))</f>
        <v>1.06666666666667</v>
      </c>
      <c r="M15" s="95"/>
      <c r="N15" s="99"/>
      <c r="O15" s="100"/>
    </row>
    <row r="16" s="70" customFormat="1" ht="25" customHeight="1" spans="1:15">
      <c r="A16" s="93">
        <v>11</v>
      </c>
      <c r="B16" s="94" t="s">
        <v>72</v>
      </c>
      <c r="C16" s="95" t="s">
        <v>73</v>
      </c>
      <c r="D16" s="95" t="s">
        <v>74</v>
      </c>
      <c r="E16" s="95" t="s">
        <v>74</v>
      </c>
      <c r="F16" s="95" t="s">
        <v>99</v>
      </c>
      <c r="G16" s="95" t="s">
        <v>100</v>
      </c>
      <c r="H16" s="93" t="s">
        <v>77</v>
      </c>
      <c r="I16" s="96">
        <f>IF(H16="ILF",IF($C$1="预估功能点",'模板使用说明&amp;基础参数'!$E$15,7),IF(H16="EIF",IF($C$1="预估功能点",'模板使用说明&amp;基础参数'!$E$16,5),IF(H16="EI",IF($C$1="预估功能点",'模板使用说明&amp;基础参数'!$E$17,'模板使用说明&amp;基础参数'!$E$24),IF(H16="EO",IF($C$1="预估功能点",'模板使用说明&amp;基础参数'!$E$18,'模板使用说明&amp;基础参数'!$E$25),IF(H16="EQ",IF($C$1="预估功能点",'模板使用说明&amp;基础参数'!$E$19,'模板使用说明&amp;基础参数'!$E$26),"")))))</f>
        <v>7</v>
      </c>
      <c r="J16" s="97" t="s">
        <v>38</v>
      </c>
      <c r="K16" s="97" t="s">
        <v>78</v>
      </c>
      <c r="L16" s="98">
        <f>IF(I16="","",IF(J16="高",IF(K16="删除",I16*'模板使用说明&amp;基础参数'!$E$5*'模板使用说明&amp;基础参数'!$E$12,IF(K16="修改",I16*'模板使用说明&amp;基础参数'!$E$5*'模板使用说明&amp;基础参数'!$E$11,I16*'模板使用说明&amp;基础参数'!$E$5*'模板使用说明&amp;基础参数'!$E$10)),IF(J16="中",IF(K16="删除",I16*'模板使用说明&amp;基础参数'!$E$6*'模板使用说明&amp;基础参数'!$E$12,IF(K16="修改",I16*'模板使用说明&amp;基础参数'!$E$6*'模板使用说明&amp;基础参数'!$E$11,I16*'模板使用说明&amp;基础参数'!$E$6*'模板使用说明&amp;基础参数'!$E$10)),IF(K16="删除",I16*'模板使用说明&amp;基础参数'!$E$7*'模板使用说明&amp;基础参数'!$E$12,IF(K16="修改",I16*'模板使用说明&amp;基础参数'!$E$7*'模板使用说明&amp;基础参数'!$E$11,I16*'模板使用说明&amp;基础参数'!$E$7*'模板使用说明&amp;基础参数'!$E$10)))))</f>
        <v>1.86666666666666</v>
      </c>
      <c r="M16" s="95"/>
      <c r="N16" s="99"/>
      <c r="O16" s="100"/>
    </row>
    <row r="17" s="70" customFormat="1" ht="25" customHeight="1" spans="1:15">
      <c r="A17" s="93">
        <v>12</v>
      </c>
      <c r="B17" s="94" t="s">
        <v>72</v>
      </c>
      <c r="C17" s="95" t="s">
        <v>73</v>
      </c>
      <c r="D17" s="95" t="s">
        <v>74</v>
      </c>
      <c r="E17" s="95" t="s">
        <v>74</v>
      </c>
      <c r="F17" s="95" t="s">
        <v>101</v>
      </c>
      <c r="G17" s="95" t="s">
        <v>102</v>
      </c>
      <c r="H17" s="93" t="s">
        <v>81</v>
      </c>
      <c r="I17" s="96">
        <f>IF(H17="ILF",IF($C$1="预估功能点",'模板使用说明&amp;基础参数'!$E$15,7),IF(H17="EIF",IF($C$1="预估功能点",'模板使用说明&amp;基础参数'!$E$16,5),IF(H17="EI",IF($C$1="预估功能点",'模板使用说明&amp;基础参数'!$E$17,'模板使用说明&amp;基础参数'!$E$24),IF(H17="EO",IF($C$1="预估功能点",'模板使用说明&amp;基础参数'!$E$18,'模板使用说明&amp;基础参数'!$E$25),IF(H17="EQ",IF($C$1="预估功能点",'模板使用说明&amp;基础参数'!$E$19,'模板使用说明&amp;基础参数'!$E$26),"")))))</f>
        <v>4</v>
      </c>
      <c r="J17" s="97" t="s">
        <v>38</v>
      </c>
      <c r="K17" s="97" t="s">
        <v>78</v>
      </c>
      <c r="L17" s="98">
        <f>IF(I17="","",IF(J17="高",IF(K17="删除",I17*'模板使用说明&amp;基础参数'!$E$5*'模板使用说明&amp;基础参数'!$E$12,IF(K17="修改",I17*'模板使用说明&amp;基础参数'!$E$5*'模板使用说明&amp;基础参数'!$E$11,I17*'模板使用说明&amp;基础参数'!$E$5*'模板使用说明&amp;基础参数'!$E$10)),IF(J17="中",IF(K17="删除",I17*'模板使用说明&amp;基础参数'!$E$6*'模板使用说明&amp;基础参数'!$E$12,IF(K17="修改",I17*'模板使用说明&amp;基础参数'!$E$6*'模板使用说明&amp;基础参数'!$E$11,I17*'模板使用说明&amp;基础参数'!$E$6*'模板使用说明&amp;基础参数'!$E$10)),IF(K17="删除",I17*'模板使用说明&amp;基础参数'!$E$7*'模板使用说明&amp;基础参数'!$E$12,IF(K17="修改",I17*'模板使用说明&amp;基础参数'!$E$7*'模板使用说明&amp;基础参数'!$E$11,I17*'模板使用说明&amp;基础参数'!$E$7*'模板使用说明&amp;基础参数'!$E$10)))))</f>
        <v>1.06666666666667</v>
      </c>
      <c r="M17" s="95"/>
      <c r="N17" s="99"/>
      <c r="O17" s="100"/>
    </row>
    <row r="18" s="70" customFormat="1" ht="25" customHeight="1" spans="1:15">
      <c r="A18" s="93">
        <v>13</v>
      </c>
      <c r="B18" s="94" t="s">
        <v>72</v>
      </c>
      <c r="C18" s="95" t="s">
        <v>73</v>
      </c>
      <c r="D18" s="95" t="s">
        <v>74</v>
      </c>
      <c r="E18" s="95" t="s">
        <v>74</v>
      </c>
      <c r="F18" s="95" t="s">
        <v>103</v>
      </c>
      <c r="G18" s="95" t="s">
        <v>104</v>
      </c>
      <c r="H18" s="93" t="s">
        <v>84</v>
      </c>
      <c r="I18" s="96">
        <f>IF(H18="ILF",IF($C$1="预估功能点",'模板使用说明&amp;基础参数'!$E$15,7),IF(H18="EIF",IF($C$1="预估功能点",'模板使用说明&amp;基础参数'!$E$16,5),IF(H18="EI",IF($C$1="预估功能点",'模板使用说明&amp;基础参数'!$E$17,'模板使用说明&amp;基础参数'!$E$24),IF(H18="EO",IF($C$1="预估功能点",'模板使用说明&amp;基础参数'!$E$18,'模板使用说明&amp;基础参数'!$E$25),IF(H18="EQ",IF($C$1="预估功能点",'模板使用说明&amp;基础参数'!$E$19,'模板使用说明&amp;基础参数'!$E$26),"")))))</f>
        <v>4</v>
      </c>
      <c r="J18" s="97" t="s">
        <v>38</v>
      </c>
      <c r="K18" s="97" t="s">
        <v>78</v>
      </c>
      <c r="L18" s="98">
        <f>IF(I18="","",IF(J18="高",IF(K18="删除",I18*'模板使用说明&amp;基础参数'!$E$5*'模板使用说明&amp;基础参数'!$E$12,IF(K18="修改",I18*'模板使用说明&amp;基础参数'!$E$5*'模板使用说明&amp;基础参数'!$E$11,I18*'模板使用说明&amp;基础参数'!$E$5*'模板使用说明&amp;基础参数'!$E$10)),IF(J18="中",IF(K18="删除",I18*'模板使用说明&amp;基础参数'!$E$6*'模板使用说明&amp;基础参数'!$E$12,IF(K18="修改",I18*'模板使用说明&amp;基础参数'!$E$6*'模板使用说明&amp;基础参数'!$E$11,I18*'模板使用说明&amp;基础参数'!$E$6*'模板使用说明&amp;基础参数'!$E$10)),IF(K18="删除",I18*'模板使用说明&amp;基础参数'!$E$7*'模板使用说明&amp;基础参数'!$E$12,IF(K18="修改",I18*'模板使用说明&amp;基础参数'!$E$7*'模板使用说明&amp;基础参数'!$E$11,I18*'模板使用说明&amp;基础参数'!$E$7*'模板使用说明&amp;基础参数'!$E$10)))))</f>
        <v>1.06666666666667</v>
      </c>
      <c r="M18" s="95"/>
      <c r="N18" s="99"/>
      <c r="O18" s="100"/>
    </row>
    <row r="19" s="70" customFormat="1" ht="25" customHeight="1" spans="1:15">
      <c r="A19" s="93">
        <v>14</v>
      </c>
      <c r="B19" s="94" t="s">
        <v>72</v>
      </c>
      <c r="C19" s="95" t="s">
        <v>73</v>
      </c>
      <c r="D19" s="95" t="s">
        <v>74</v>
      </c>
      <c r="E19" s="95" t="s">
        <v>74</v>
      </c>
      <c r="F19" s="95" t="s">
        <v>105</v>
      </c>
      <c r="G19" s="95" t="s">
        <v>106</v>
      </c>
      <c r="H19" s="93" t="s">
        <v>84</v>
      </c>
      <c r="I19" s="96">
        <f>IF(H19="ILF",IF($C$1="预估功能点",'模板使用说明&amp;基础参数'!$E$15,7),IF(H19="EIF",IF($C$1="预估功能点",'模板使用说明&amp;基础参数'!$E$16,5),IF(H19="EI",IF($C$1="预估功能点",'模板使用说明&amp;基础参数'!$E$17,'模板使用说明&amp;基础参数'!$E$24),IF(H19="EO",IF($C$1="预估功能点",'模板使用说明&amp;基础参数'!$E$18,'模板使用说明&amp;基础参数'!$E$25),IF(H19="EQ",IF($C$1="预估功能点",'模板使用说明&amp;基础参数'!$E$19,'模板使用说明&amp;基础参数'!$E$26),"")))))</f>
        <v>4</v>
      </c>
      <c r="J19" s="97" t="s">
        <v>38</v>
      </c>
      <c r="K19" s="97" t="s">
        <v>78</v>
      </c>
      <c r="L19" s="98">
        <f>IF(I19="","",IF(J19="高",IF(K19="删除",I19*'模板使用说明&amp;基础参数'!$E$5*'模板使用说明&amp;基础参数'!$E$12,IF(K19="修改",I19*'模板使用说明&amp;基础参数'!$E$5*'模板使用说明&amp;基础参数'!$E$11,I19*'模板使用说明&amp;基础参数'!$E$5*'模板使用说明&amp;基础参数'!$E$10)),IF(J19="中",IF(K19="删除",I19*'模板使用说明&amp;基础参数'!$E$6*'模板使用说明&amp;基础参数'!$E$12,IF(K19="修改",I19*'模板使用说明&amp;基础参数'!$E$6*'模板使用说明&amp;基础参数'!$E$11,I19*'模板使用说明&amp;基础参数'!$E$6*'模板使用说明&amp;基础参数'!$E$10)),IF(K19="删除",I19*'模板使用说明&amp;基础参数'!$E$7*'模板使用说明&amp;基础参数'!$E$12,IF(K19="修改",I19*'模板使用说明&amp;基础参数'!$E$7*'模板使用说明&amp;基础参数'!$E$11,I19*'模板使用说明&amp;基础参数'!$E$7*'模板使用说明&amp;基础参数'!$E$10)))))</f>
        <v>1.06666666666667</v>
      </c>
      <c r="M19" s="95"/>
      <c r="N19" s="99"/>
      <c r="O19" s="100"/>
    </row>
    <row r="20" s="70" customFormat="1" ht="25" customHeight="1" spans="1:15">
      <c r="A20" s="93">
        <v>15</v>
      </c>
      <c r="B20" s="94" t="s">
        <v>72</v>
      </c>
      <c r="C20" s="95" t="s">
        <v>73</v>
      </c>
      <c r="D20" s="95" t="s">
        <v>74</v>
      </c>
      <c r="E20" s="95" t="s">
        <v>74</v>
      </c>
      <c r="F20" s="95" t="s">
        <v>107</v>
      </c>
      <c r="G20" s="95" t="s">
        <v>108</v>
      </c>
      <c r="H20" s="93" t="s">
        <v>84</v>
      </c>
      <c r="I20" s="96">
        <f>IF(H20="ILF",IF($C$1="预估功能点",'模板使用说明&amp;基础参数'!$E$15,7),IF(H20="EIF",IF($C$1="预估功能点",'模板使用说明&amp;基础参数'!$E$16,5),IF(H20="EI",IF($C$1="预估功能点",'模板使用说明&amp;基础参数'!$E$17,'模板使用说明&amp;基础参数'!$E$24),IF(H20="EO",IF($C$1="预估功能点",'模板使用说明&amp;基础参数'!$E$18,'模板使用说明&amp;基础参数'!$E$25),IF(H20="EQ",IF($C$1="预估功能点",'模板使用说明&amp;基础参数'!$E$19,'模板使用说明&amp;基础参数'!$E$26),"")))))</f>
        <v>4</v>
      </c>
      <c r="J20" s="97" t="s">
        <v>38</v>
      </c>
      <c r="K20" s="97" t="s">
        <v>78</v>
      </c>
      <c r="L20" s="98">
        <f>IF(I20="","",IF(J20="高",IF(K20="删除",I20*'模板使用说明&amp;基础参数'!$E$5*'模板使用说明&amp;基础参数'!$E$12,IF(K20="修改",I20*'模板使用说明&amp;基础参数'!$E$5*'模板使用说明&amp;基础参数'!$E$11,I20*'模板使用说明&amp;基础参数'!$E$5*'模板使用说明&amp;基础参数'!$E$10)),IF(J20="中",IF(K20="删除",I20*'模板使用说明&amp;基础参数'!$E$6*'模板使用说明&amp;基础参数'!$E$12,IF(K20="修改",I20*'模板使用说明&amp;基础参数'!$E$6*'模板使用说明&amp;基础参数'!$E$11,I20*'模板使用说明&amp;基础参数'!$E$6*'模板使用说明&amp;基础参数'!$E$10)),IF(K20="删除",I20*'模板使用说明&amp;基础参数'!$E$7*'模板使用说明&amp;基础参数'!$E$12,IF(K20="修改",I20*'模板使用说明&amp;基础参数'!$E$7*'模板使用说明&amp;基础参数'!$E$11,I20*'模板使用说明&amp;基础参数'!$E$7*'模板使用说明&amp;基础参数'!$E$10)))))</f>
        <v>1.06666666666667</v>
      </c>
      <c r="M20" s="95"/>
      <c r="N20" s="99"/>
      <c r="O20" s="100"/>
    </row>
    <row r="21" s="70" customFormat="1" ht="25" customHeight="1" spans="1:15">
      <c r="A21" s="93">
        <v>16</v>
      </c>
      <c r="B21" s="94" t="s">
        <v>72</v>
      </c>
      <c r="C21" s="95" t="s">
        <v>73</v>
      </c>
      <c r="D21" s="95" t="s">
        <v>74</v>
      </c>
      <c r="E21" s="95" t="s">
        <v>74</v>
      </c>
      <c r="F21" s="95" t="s">
        <v>109</v>
      </c>
      <c r="G21" s="95" t="s">
        <v>110</v>
      </c>
      <c r="H21" s="93" t="s">
        <v>77</v>
      </c>
      <c r="I21" s="96">
        <f>IF(H21="ILF",IF($C$1="预估功能点",'模板使用说明&amp;基础参数'!$E$15,7),IF(H21="EIF",IF($C$1="预估功能点",'模板使用说明&amp;基础参数'!$E$16,5),IF(H21="EI",IF($C$1="预估功能点",'模板使用说明&amp;基础参数'!$E$17,'模板使用说明&amp;基础参数'!$E$24),IF(H21="EO",IF($C$1="预估功能点",'模板使用说明&amp;基础参数'!$E$18,'模板使用说明&amp;基础参数'!$E$25),IF(H21="EQ",IF($C$1="预估功能点",'模板使用说明&amp;基础参数'!$E$19,'模板使用说明&amp;基础参数'!$E$26),"")))))</f>
        <v>7</v>
      </c>
      <c r="J21" s="97" t="s">
        <v>38</v>
      </c>
      <c r="K21" s="97" t="s">
        <v>78</v>
      </c>
      <c r="L21" s="98">
        <f>IF(I21="","",IF(J21="高",IF(K21="删除",I21*'模板使用说明&amp;基础参数'!$E$5*'模板使用说明&amp;基础参数'!$E$12,IF(K21="修改",I21*'模板使用说明&amp;基础参数'!$E$5*'模板使用说明&amp;基础参数'!$E$11,I21*'模板使用说明&amp;基础参数'!$E$5*'模板使用说明&amp;基础参数'!$E$10)),IF(J21="中",IF(K21="删除",I21*'模板使用说明&amp;基础参数'!$E$6*'模板使用说明&amp;基础参数'!$E$12,IF(K21="修改",I21*'模板使用说明&amp;基础参数'!$E$6*'模板使用说明&amp;基础参数'!$E$11,I21*'模板使用说明&amp;基础参数'!$E$6*'模板使用说明&amp;基础参数'!$E$10)),IF(K21="删除",I21*'模板使用说明&amp;基础参数'!$E$7*'模板使用说明&amp;基础参数'!$E$12,IF(K21="修改",I21*'模板使用说明&amp;基础参数'!$E$7*'模板使用说明&amp;基础参数'!$E$11,I21*'模板使用说明&amp;基础参数'!$E$7*'模板使用说明&amp;基础参数'!$E$10)))))</f>
        <v>1.86666666666666</v>
      </c>
      <c r="M21" s="95"/>
      <c r="N21" s="99"/>
      <c r="O21" s="100"/>
    </row>
    <row r="22" s="70" customFormat="1" ht="25" customHeight="1" spans="1:15">
      <c r="A22" s="93">
        <v>17</v>
      </c>
      <c r="B22" s="94" t="s">
        <v>72</v>
      </c>
      <c r="C22" s="95" t="s">
        <v>73</v>
      </c>
      <c r="D22" s="95" t="s">
        <v>74</v>
      </c>
      <c r="E22" s="95" t="s">
        <v>74</v>
      </c>
      <c r="F22" s="95" t="s">
        <v>111</v>
      </c>
      <c r="G22" s="95" t="s">
        <v>112</v>
      </c>
      <c r="H22" s="93" t="s">
        <v>81</v>
      </c>
      <c r="I22" s="96">
        <f>IF(H22="ILF",IF($C$1="预估功能点",'模板使用说明&amp;基础参数'!$E$15,7),IF(H22="EIF",IF($C$1="预估功能点",'模板使用说明&amp;基础参数'!$E$16,5),IF(H22="EI",IF($C$1="预估功能点",'模板使用说明&amp;基础参数'!$E$17,'模板使用说明&amp;基础参数'!$E$24),IF(H22="EO",IF($C$1="预估功能点",'模板使用说明&amp;基础参数'!$E$18,'模板使用说明&amp;基础参数'!$E$25),IF(H22="EQ",IF($C$1="预估功能点",'模板使用说明&amp;基础参数'!$E$19,'模板使用说明&amp;基础参数'!$E$26),"")))))</f>
        <v>4</v>
      </c>
      <c r="J22" s="97" t="s">
        <v>38</v>
      </c>
      <c r="K22" s="97" t="s">
        <v>78</v>
      </c>
      <c r="L22" s="98">
        <f>IF(I22="","",IF(J22="高",IF(K22="删除",I22*'模板使用说明&amp;基础参数'!$E$5*'模板使用说明&amp;基础参数'!$E$12,IF(K22="修改",I22*'模板使用说明&amp;基础参数'!$E$5*'模板使用说明&amp;基础参数'!$E$11,I22*'模板使用说明&amp;基础参数'!$E$5*'模板使用说明&amp;基础参数'!$E$10)),IF(J22="中",IF(K22="删除",I22*'模板使用说明&amp;基础参数'!$E$6*'模板使用说明&amp;基础参数'!$E$12,IF(K22="修改",I22*'模板使用说明&amp;基础参数'!$E$6*'模板使用说明&amp;基础参数'!$E$11,I22*'模板使用说明&amp;基础参数'!$E$6*'模板使用说明&amp;基础参数'!$E$10)),IF(K22="删除",I22*'模板使用说明&amp;基础参数'!$E$7*'模板使用说明&amp;基础参数'!$E$12,IF(K22="修改",I22*'模板使用说明&amp;基础参数'!$E$7*'模板使用说明&amp;基础参数'!$E$11,I22*'模板使用说明&amp;基础参数'!$E$7*'模板使用说明&amp;基础参数'!$E$10)))))</f>
        <v>1.06666666666667</v>
      </c>
      <c r="M22" s="95"/>
      <c r="N22" s="99"/>
      <c r="O22" s="100"/>
    </row>
    <row r="23" s="70" customFormat="1" ht="25" customHeight="1" spans="1:15">
      <c r="A23" s="93">
        <v>18</v>
      </c>
      <c r="B23" s="94" t="s">
        <v>72</v>
      </c>
      <c r="C23" s="95" t="s">
        <v>73</v>
      </c>
      <c r="D23" s="95" t="s">
        <v>74</v>
      </c>
      <c r="E23" s="95" t="s">
        <v>74</v>
      </c>
      <c r="F23" s="95" t="s">
        <v>113</v>
      </c>
      <c r="G23" s="95" t="s">
        <v>114</v>
      </c>
      <c r="H23" s="93" t="s">
        <v>84</v>
      </c>
      <c r="I23" s="96">
        <f>IF(H23="ILF",IF($C$1="预估功能点",'模板使用说明&amp;基础参数'!$E$15,7),IF(H23="EIF",IF($C$1="预估功能点",'模板使用说明&amp;基础参数'!$E$16,5),IF(H23="EI",IF($C$1="预估功能点",'模板使用说明&amp;基础参数'!$E$17,'模板使用说明&amp;基础参数'!$E$24),IF(H23="EO",IF($C$1="预估功能点",'模板使用说明&amp;基础参数'!$E$18,'模板使用说明&amp;基础参数'!$E$25),IF(H23="EQ",IF($C$1="预估功能点",'模板使用说明&amp;基础参数'!$E$19,'模板使用说明&amp;基础参数'!$E$26),"")))))</f>
        <v>4</v>
      </c>
      <c r="J23" s="97" t="s">
        <v>38</v>
      </c>
      <c r="K23" s="97" t="s">
        <v>78</v>
      </c>
      <c r="L23" s="98">
        <f>IF(I23="","",IF(J23="高",IF(K23="删除",I23*'模板使用说明&amp;基础参数'!$E$5*'模板使用说明&amp;基础参数'!$E$12,IF(K23="修改",I23*'模板使用说明&amp;基础参数'!$E$5*'模板使用说明&amp;基础参数'!$E$11,I23*'模板使用说明&amp;基础参数'!$E$5*'模板使用说明&amp;基础参数'!$E$10)),IF(J23="中",IF(K23="删除",I23*'模板使用说明&amp;基础参数'!$E$6*'模板使用说明&amp;基础参数'!$E$12,IF(K23="修改",I23*'模板使用说明&amp;基础参数'!$E$6*'模板使用说明&amp;基础参数'!$E$11,I23*'模板使用说明&amp;基础参数'!$E$6*'模板使用说明&amp;基础参数'!$E$10)),IF(K23="删除",I23*'模板使用说明&amp;基础参数'!$E$7*'模板使用说明&amp;基础参数'!$E$12,IF(K23="修改",I23*'模板使用说明&amp;基础参数'!$E$7*'模板使用说明&amp;基础参数'!$E$11,I23*'模板使用说明&amp;基础参数'!$E$7*'模板使用说明&amp;基础参数'!$E$10)))))</f>
        <v>1.06666666666667</v>
      </c>
      <c r="M23" s="95"/>
      <c r="N23" s="99"/>
      <c r="O23" s="100"/>
    </row>
    <row r="24" s="70" customFormat="1" ht="25" customHeight="1" spans="1:15">
      <c r="A24" s="93">
        <v>19</v>
      </c>
      <c r="B24" s="94" t="s">
        <v>72</v>
      </c>
      <c r="C24" s="95" t="s">
        <v>73</v>
      </c>
      <c r="D24" s="95" t="s">
        <v>74</v>
      </c>
      <c r="E24" s="95" t="s">
        <v>74</v>
      </c>
      <c r="F24" s="95" t="s">
        <v>115</v>
      </c>
      <c r="G24" s="95" t="s">
        <v>116</v>
      </c>
      <c r="H24" s="93" t="s">
        <v>84</v>
      </c>
      <c r="I24" s="96">
        <f>IF(H24="ILF",IF($C$1="预估功能点",'模板使用说明&amp;基础参数'!$E$15,7),IF(H24="EIF",IF($C$1="预估功能点",'模板使用说明&amp;基础参数'!$E$16,5),IF(H24="EI",IF($C$1="预估功能点",'模板使用说明&amp;基础参数'!$E$17,'模板使用说明&amp;基础参数'!$E$24),IF(H24="EO",IF($C$1="预估功能点",'模板使用说明&amp;基础参数'!$E$18,'模板使用说明&amp;基础参数'!$E$25),IF(H24="EQ",IF($C$1="预估功能点",'模板使用说明&amp;基础参数'!$E$19,'模板使用说明&amp;基础参数'!$E$26),"")))))</f>
        <v>4</v>
      </c>
      <c r="J24" s="97" t="s">
        <v>38</v>
      </c>
      <c r="K24" s="97" t="s">
        <v>78</v>
      </c>
      <c r="L24" s="98">
        <f>IF(I24="","",IF(J24="高",IF(K24="删除",I24*'模板使用说明&amp;基础参数'!$E$5*'模板使用说明&amp;基础参数'!$E$12,IF(K24="修改",I24*'模板使用说明&amp;基础参数'!$E$5*'模板使用说明&amp;基础参数'!$E$11,I24*'模板使用说明&amp;基础参数'!$E$5*'模板使用说明&amp;基础参数'!$E$10)),IF(J24="中",IF(K24="删除",I24*'模板使用说明&amp;基础参数'!$E$6*'模板使用说明&amp;基础参数'!$E$12,IF(K24="修改",I24*'模板使用说明&amp;基础参数'!$E$6*'模板使用说明&amp;基础参数'!$E$11,I24*'模板使用说明&amp;基础参数'!$E$6*'模板使用说明&amp;基础参数'!$E$10)),IF(K24="删除",I24*'模板使用说明&amp;基础参数'!$E$7*'模板使用说明&amp;基础参数'!$E$12,IF(K24="修改",I24*'模板使用说明&amp;基础参数'!$E$7*'模板使用说明&amp;基础参数'!$E$11,I24*'模板使用说明&amp;基础参数'!$E$7*'模板使用说明&amp;基础参数'!$E$10)))))</f>
        <v>1.06666666666667</v>
      </c>
      <c r="M24" s="95"/>
      <c r="N24" s="99"/>
      <c r="O24" s="100"/>
    </row>
    <row r="25" s="70" customFormat="1" ht="25" customHeight="1" spans="1:15">
      <c r="A25" s="93">
        <v>20</v>
      </c>
      <c r="B25" s="94" t="s">
        <v>72</v>
      </c>
      <c r="C25" s="95" t="s">
        <v>73</v>
      </c>
      <c r="D25" s="95" t="s">
        <v>74</v>
      </c>
      <c r="E25" s="95" t="s">
        <v>74</v>
      </c>
      <c r="F25" s="95" t="s">
        <v>117</v>
      </c>
      <c r="G25" s="95" t="s">
        <v>118</v>
      </c>
      <c r="H25" s="93" t="s">
        <v>84</v>
      </c>
      <c r="I25" s="96">
        <f>IF(H25="ILF",IF($C$1="预估功能点",'模板使用说明&amp;基础参数'!$E$15,7),IF(H25="EIF",IF($C$1="预估功能点",'模板使用说明&amp;基础参数'!$E$16,5),IF(H25="EI",IF($C$1="预估功能点",'模板使用说明&amp;基础参数'!$E$17,'模板使用说明&amp;基础参数'!$E$24),IF(H25="EO",IF($C$1="预估功能点",'模板使用说明&amp;基础参数'!$E$18,'模板使用说明&amp;基础参数'!$E$25),IF(H25="EQ",IF($C$1="预估功能点",'模板使用说明&amp;基础参数'!$E$19,'模板使用说明&amp;基础参数'!$E$26),"")))))</f>
        <v>4</v>
      </c>
      <c r="J25" s="97" t="s">
        <v>38</v>
      </c>
      <c r="K25" s="97" t="s">
        <v>78</v>
      </c>
      <c r="L25" s="98">
        <f>IF(I25="","",IF(J25="高",IF(K25="删除",I25*'模板使用说明&amp;基础参数'!$E$5*'模板使用说明&amp;基础参数'!$E$12,IF(K25="修改",I25*'模板使用说明&amp;基础参数'!$E$5*'模板使用说明&amp;基础参数'!$E$11,I25*'模板使用说明&amp;基础参数'!$E$5*'模板使用说明&amp;基础参数'!$E$10)),IF(J25="中",IF(K25="删除",I25*'模板使用说明&amp;基础参数'!$E$6*'模板使用说明&amp;基础参数'!$E$12,IF(K25="修改",I25*'模板使用说明&amp;基础参数'!$E$6*'模板使用说明&amp;基础参数'!$E$11,I25*'模板使用说明&amp;基础参数'!$E$6*'模板使用说明&amp;基础参数'!$E$10)),IF(K25="删除",I25*'模板使用说明&amp;基础参数'!$E$7*'模板使用说明&amp;基础参数'!$E$12,IF(K25="修改",I25*'模板使用说明&amp;基础参数'!$E$7*'模板使用说明&amp;基础参数'!$E$11,I25*'模板使用说明&amp;基础参数'!$E$7*'模板使用说明&amp;基础参数'!$E$10)))))</f>
        <v>1.06666666666667</v>
      </c>
      <c r="M25" s="95"/>
      <c r="N25" s="99"/>
      <c r="O25" s="100"/>
    </row>
    <row r="26" s="70" customFormat="1" ht="25" customHeight="1" spans="1:15">
      <c r="A26" s="93">
        <v>21</v>
      </c>
      <c r="B26" s="94" t="s">
        <v>72</v>
      </c>
      <c r="C26" s="95" t="s">
        <v>73</v>
      </c>
      <c r="D26" s="95" t="s">
        <v>74</v>
      </c>
      <c r="E26" s="95" t="s">
        <v>74</v>
      </c>
      <c r="F26" s="95" t="s">
        <v>119</v>
      </c>
      <c r="G26" s="95" t="s">
        <v>120</v>
      </c>
      <c r="H26" s="93" t="s">
        <v>77</v>
      </c>
      <c r="I26" s="96">
        <f>IF(H26="ILF",IF($C$1="预估功能点",'模板使用说明&amp;基础参数'!$E$15,7),IF(H26="EIF",IF($C$1="预估功能点",'模板使用说明&amp;基础参数'!$E$16,5),IF(H26="EI",IF($C$1="预估功能点",'模板使用说明&amp;基础参数'!$E$17,'模板使用说明&amp;基础参数'!$E$24),IF(H26="EO",IF($C$1="预估功能点",'模板使用说明&amp;基础参数'!$E$18,'模板使用说明&amp;基础参数'!$E$25),IF(H26="EQ",IF($C$1="预估功能点",'模板使用说明&amp;基础参数'!$E$19,'模板使用说明&amp;基础参数'!$E$26),"")))))</f>
        <v>7</v>
      </c>
      <c r="J26" s="97" t="s">
        <v>38</v>
      </c>
      <c r="K26" s="97" t="s">
        <v>78</v>
      </c>
      <c r="L26" s="98">
        <f>IF(I26="","",IF(J26="高",IF(K26="删除",I26*'模板使用说明&amp;基础参数'!$E$5*'模板使用说明&amp;基础参数'!$E$12,IF(K26="修改",I26*'模板使用说明&amp;基础参数'!$E$5*'模板使用说明&amp;基础参数'!$E$11,I26*'模板使用说明&amp;基础参数'!$E$5*'模板使用说明&amp;基础参数'!$E$10)),IF(J26="中",IF(K26="删除",I26*'模板使用说明&amp;基础参数'!$E$6*'模板使用说明&amp;基础参数'!$E$12,IF(K26="修改",I26*'模板使用说明&amp;基础参数'!$E$6*'模板使用说明&amp;基础参数'!$E$11,I26*'模板使用说明&amp;基础参数'!$E$6*'模板使用说明&amp;基础参数'!$E$10)),IF(K26="删除",I26*'模板使用说明&amp;基础参数'!$E$7*'模板使用说明&amp;基础参数'!$E$12,IF(K26="修改",I26*'模板使用说明&amp;基础参数'!$E$7*'模板使用说明&amp;基础参数'!$E$11,I26*'模板使用说明&amp;基础参数'!$E$7*'模板使用说明&amp;基础参数'!$E$10)))))</f>
        <v>1.86666666666666</v>
      </c>
      <c r="M26" s="95"/>
      <c r="N26" s="99"/>
      <c r="O26" s="100"/>
    </row>
    <row r="27" s="70" customFormat="1" ht="25" customHeight="1" spans="1:15">
      <c r="A27" s="93">
        <v>22</v>
      </c>
      <c r="B27" s="94" t="s">
        <v>72</v>
      </c>
      <c r="C27" s="95" t="s">
        <v>73</v>
      </c>
      <c r="D27" s="95" t="s">
        <v>74</v>
      </c>
      <c r="E27" s="95" t="s">
        <v>74</v>
      </c>
      <c r="F27" s="95" t="s">
        <v>121</v>
      </c>
      <c r="G27" s="95" t="s">
        <v>122</v>
      </c>
      <c r="H27" s="93" t="s">
        <v>81</v>
      </c>
      <c r="I27" s="96">
        <f>IF(H27="ILF",IF($C$1="预估功能点",'模板使用说明&amp;基础参数'!$E$15,7),IF(H27="EIF",IF($C$1="预估功能点",'模板使用说明&amp;基础参数'!$E$16,5),IF(H27="EI",IF($C$1="预估功能点",'模板使用说明&amp;基础参数'!$E$17,'模板使用说明&amp;基础参数'!$E$24),IF(H27="EO",IF($C$1="预估功能点",'模板使用说明&amp;基础参数'!$E$18,'模板使用说明&amp;基础参数'!$E$25),IF(H27="EQ",IF($C$1="预估功能点",'模板使用说明&amp;基础参数'!$E$19,'模板使用说明&amp;基础参数'!$E$26),"")))))</f>
        <v>4</v>
      </c>
      <c r="J27" s="97" t="s">
        <v>38</v>
      </c>
      <c r="K27" s="97" t="s">
        <v>78</v>
      </c>
      <c r="L27" s="98">
        <f>IF(I27="","",IF(J27="高",IF(K27="删除",I27*'模板使用说明&amp;基础参数'!$E$5*'模板使用说明&amp;基础参数'!$E$12,IF(K27="修改",I27*'模板使用说明&amp;基础参数'!$E$5*'模板使用说明&amp;基础参数'!$E$11,I27*'模板使用说明&amp;基础参数'!$E$5*'模板使用说明&amp;基础参数'!$E$10)),IF(J27="中",IF(K27="删除",I27*'模板使用说明&amp;基础参数'!$E$6*'模板使用说明&amp;基础参数'!$E$12,IF(K27="修改",I27*'模板使用说明&amp;基础参数'!$E$6*'模板使用说明&amp;基础参数'!$E$11,I27*'模板使用说明&amp;基础参数'!$E$6*'模板使用说明&amp;基础参数'!$E$10)),IF(K27="删除",I27*'模板使用说明&amp;基础参数'!$E$7*'模板使用说明&amp;基础参数'!$E$12,IF(K27="修改",I27*'模板使用说明&amp;基础参数'!$E$7*'模板使用说明&amp;基础参数'!$E$11,I27*'模板使用说明&amp;基础参数'!$E$7*'模板使用说明&amp;基础参数'!$E$10)))))</f>
        <v>1.06666666666667</v>
      </c>
      <c r="M27" s="95"/>
      <c r="N27" s="99"/>
      <c r="O27" s="100"/>
    </row>
    <row r="28" s="70" customFormat="1" ht="25" customHeight="1" spans="1:15">
      <c r="A28" s="93">
        <v>23</v>
      </c>
      <c r="B28" s="94" t="s">
        <v>72</v>
      </c>
      <c r="C28" s="95" t="s">
        <v>73</v>
      </c>
      <c r="D28" s="95" t="s">
        <v>74</v>
      </c>
      <c r="E28" s="95" t="s">
        <v>74</v>
      </c>
      <c r="F28" s="95" t="s">
        <v>123</v>
      </c>
      <c r="G28" s="95" t="s">
        <v>124</v>
      </c>
      <c r="H28" s="93" t="s">
        <v>84</v>
      </c>
      <c r="I28" s="96">
        <f>IF(H28="ILF",IF($C$1="预估功能点",'模板使用说明&amp;基础参数'!$E$15,7),IF(H28="EIF",IF($C$1="预估功能点",'模板使用说明&amp;基础参数'!$E$16,5),IF(H28="EI",IF($C$1="预估功能点",'模板使用说明&amp;基础参数'!$E$17,'模板使用说明&amp;基础参数'!$E$24),IF(H28="EO",IF($C$1="预估功能点",'模板使用说明&amp;基础参数'!$E$18,'模板使用说明&amp;基础参数'!$E$25),IF(H28="EQ",IF($C$1="预估功能点",'模板使用说明&amp;基础参数'!$E$19,'模板使用说明&amp;基础参数'!$E$26),"")))))</f>
        <v>4</v>
      </c>
      <c r="J28" s="97" t="s">
        <v>38</v>
      </c>
      <c r="K28" s="97" t="s">
        <v>78</v>
      </c>
      <c r="L28" s="98">
        <f>IF(I28="","",IF(J28="高",IF(K28="删除",I28*'模板使用说明&amp;基础参数'!$E$5*'模板使用说明&amp;基础参数'!$E$12,IF(K28="修改",I28*'模板使用说明&amp;基础参数'!$E$5*'模板使用说明&amp;基础参数'!$E$11,I28*'模板使用说明&amp;基础参数'!$E$5*'模板使用说明&amp;基础参数'!$E$10)),IF(J28="中",IF(K28="删除",I28*'模板使用说明&amp;基础参数'!$E$6*'模板使用说明&amp;基础参数'!$E$12,IF(K28="修改",I28*'模板使用说明&amp;基础参数'!$E$6*'模板使用说明&amp;基础参数'!$E$11,I28*'模板使用说明&amp;基础参数'!$E$6*'模板使用说明&amp;基础参数'!$E$10)),IF(K28="删除",I28*'模板使用说明&amp;基础参数'!$E$7*'模板使用说明&amp;基础参数'!$E$12,IF(K28="修改",I28*'模板使用说明&amp;基础参数'!$E$7*'模板使用说明&amp;基础参数'!$E$11,I28*'模板使用说明&amp;基础参数'!$E$7*'模板使用说明&amp;基础参数'!$E$10)))))</f>
        <v>1.06666666666667</v>
      </c>
      <c r="M28" s="95"/>
      <c r="N28" s="99"/>
      <c r="O28" s="100"/>
    </row>
    <row r="29" s="70" customFormat="1" ht="25" customHeight="1" spans="1:15">
      <c r="A29" s="93">
        <v>24</v>
      </c>
      <c r="B29" s="94" t="s">
        <v>72</v>
      </c>
      <c r="C29" s="95" t="s">
        <v>73</v>
      </c>
      <c r="D29" s="95" t="s">
        <v>74</v>
      </c>
      <c r="E29" s="95" t="s">
        <v>74</v>
      </c>
      <c r="F29" s="95" t="s">
        <v>125</v>
      </c>
      <c r="G29" s="95" t="s">
        <v>126</v>
      </c>
      <c r="H29" s="93" t="s">
        <v>84</v>
      </c>
      <c r="I29" s="96">
        <f>IF(H29="ILF",IF($C$1="预估功能点",'模板使用说明&amp;基础参数'!$E$15,7),IF(H29="EIF",IF($C$1="预估功能点",'模板使用说明&amp;基础参数'!$E$16,5),IF(H29="EI",IF($C$1="预估功能点",'模板使用说明&amp;基础参数'!$E$17,'模板使用说明&amp;基础参数'!$E$24),IF(H29="EO",IF($C$1="预估功能点",'模板使用说明&amp;基础参数'!$E$18,'模板使用说明&amp;基础参数'!$E$25),IF(H29="EQ",IF($C$1="预估功能点",'模板使用说明&amp;基础参数'!$E$19,'模板使用说明&amp;基础参数'!$E$26),"")))))</f>
        <v>4</v>
      </c>
      <c r="J29" s="97" t="s">
        <v>38</v>
      </c>
      <c r="K29" s="97" t="s">
        <v>78</v>
      </c>
      <c r="L29" s="98">
        <f>IF(I29="","",IF(J29="高",IF(K29="删除",I29*'模板使用说明&amp;基础参数'!$E$5*'模板使用说明&amp;基础参数'!$E$12,IF(K29="修改",I29*'模板使用说明&amp;基础参数'!$E$5*'模板使用说明&amp;基础参数'!$E$11,I29*'模板使用说明&amp;基础参数'!$E$5*'模板使用说明&amp;基础参数'!$E$10)),IF(J29="中",IF(K29="删除",I29*'模板使用说明&amp;基础参数'!$E$6*'模板使用说明&amp;基础参数'!$E$12,IF(K29="修改",I29*'模板使用说明&amp;基础参数'!$E$6*'模板使用说明&amp;基础参数'!$E$11,I29*'模板使用说明&amp;基础参数'!$E$6*'模板使用说明&amp;基础参数'!$E$10)),IF(K29="删除",I29*'模板使用说明&amp;基础参数'!$E$7*'模板使用说明&amp;基础参数'!$E$12,IF(K29="修改",I29*'模板使用说明&amp;基础参数'!$E$7*'模板使用说明&amp;基础参数'!$E$11,I29*'模板使用说明&amp;基础参数'!$E$7*'模板使用说明&amp;基础参数'!$E$10)))))</f>
        <v>1.06666666666667</v>
      </c>
      <c r="M29" s="95"/>
      <c r="N29" s="99"/>
      <c r="O29" s="100"/>
    </row>
    <row r="30" s="70" customFormat="1" ht="25" customHeight="1" spans="1:15">
      <c r="A30" s="93">
        <v>25</v>
      </c>
      <c r="B30" s="94" t="s">
        <v>72</v>
      </c>
      <c r="C30" s="95" t="s">
        <v>73</v>
      </c>
      <c r="D30" s="95" t="s">
        <v>74</v>
      </c>
      <c r="E30" s="95" t="s">
        <v>74</v>
      </c>
      <c r="F30" s="95" t="s">
        <v>127</v>
      </c>
      <c r="G30" s="95" t="s">
        <v>128</v>
      </c>
      <c r="H30" s="93" t="s">
        <v>84</v>
      </c>
      <c r="I30" s="96">
        <f>IF(H30="ILF",IF($C$1="预估功能点",'模板使用说明&amp;基础参数'!$E$15,7),IF(H30="EIF",IF($C$1="预估功能点",'模板使用说明&amp;基础参数'!$E$16,5),IF(H30="EI",IF($C$1="预估功能点",'模板使用说明&amp;基础参数'!$E$17,'模板使用说明&amp;基础参数'!$E$24),IF(H30="EO",IF($C$1="预估功能点",'模板使用说明&amp;基础参数'!$E$18,'模板使用说明&amp;基础参数'!$E$25),IF(H30="EQ",IF($C$1="预估功能点",'模板使用说明&amp;基础参数'!$E$19,'模板使用说明&amp;基础参数'!$E$26),"")))))</f>
        <v>4</v>
      </c>
      <c r="J30" s="97" t="s">
        <v>38</v>
      </c>
      <c r="K30" s="97" t="s">
        <v>78</v>
      </c>
      <c r="L30" s="98">
        <f>IF(I30="","",IF(J30="高",IF(K30="删除",I30*'模板使用说明&amp;基础参数'!$E$5*'模板使用说明&amp;基础参数'!$E$12,IF(K30="修改",I30*'模板使用说明&amp;基础参数'!$E$5*'模板使用说明&amp;基础参数'!$E$11,I30*'模板使用说明&amp;基础参数'!$E$5*'模板使用说明&amp;基础参数'!$E$10)),IF(J30="中",IF(K30="删除",I30*'模板使用说明&amp;基础参数'!$E$6*'模板使用说明&amp;基础参数'!$E$12,IF(K30="修改",I30*'模板使用说明&amp;基础参数'!$E$6*'模板使用说明&amp;基础参数'!$E$11,I30*'模板使用说明&amp;基础参数'!$E$6*'模板使用说明&amp;基础参数'!$E$10)),IF(K30="删除",I30*'模板使用说明&amp;基础参数'!$E$7*'模板使用说明&amp;基础参数'!$E$12,IF(K30="修改",I30*'模板使用说明&amp;基础参数'!$E$7*'模板使用说明&amp;基础参数'!$E$11,I30*'模板使用说明&amp;基础参数'!$E$7*'模板使用说明&amp;基础参数'!$E$10)))))</f>
        <v>1.06666666666667</v>
      </c>
      <c r="M30" s="95"/>
      <c r="N30" s="99"/>
      <c r="O30" s="100"/>
    </row>
    <row r="31" s="70" customFormat="1" ht="25" customHeight="1" spans="1:15">
      <c r="A31" s="93">
        <v>26</v>
      </c>
      <c r="B31" s="94" t="s">
        <v>72</v>
      </c>
      <c r="C31" s="95" t="s">
        <v>129</v>
      </c>
      <c r="D31" s="95" t="s">
        <v>130</v>
      </c>
      <c r="E31" s="95" t="s">
        <v>130</v>
      </c>
      <c r="F31" s="95" t="s">
        <v>131</v>
      </c>
      <c r="G31" s="95" t="s">
        <v>132</v>
      </c>
      <c r="H31" s="93" t="s">
        <v>77</v>
      </c>
      <c r="I31" s="96">
        <f>IF(H31="ILF",IF($C$1="预估功能点",'模板使用说明&amp;基础参数'!$E$15,7),IF(H31="EIF",IF($C$1="预估功能点",'模板使用说明&amp;基础参数'!$E$16,5),IF(H31="EI",IF($C$1="预估功能点",'模板使用说明&amp;基础参数'!$E$17,'模板使用说明&amp;基础参数'!$E$24),IF(H31="EO",IF($C$1="预估功能点",'模板使用说明&amp;基础参数'!$E$18,'模板使用说明&amp;基础参数'!$E$25),IF(H31="EQ",IF($C$1="预估功能点",'模板使用说明&amp;基础参数'!$E$19,'模板使用说明&amp;基础参数'!$E$26),"")))))</f>
        <v>7</v>
      </c>
      <c r="J31" s="97" t="s">
        <v>38</v>
      </c>
      <c r="K31" s="97" t="s">
        <v>78</v>
      </c>
      <c r="L31" s="98">
        <f>IF(I31="","",IF(J31="高",IF(K31="删除",I31*'模板使用说明&amp;基础参数'!$E$5*'模板使用说明&amp;基础参数'!$E$12,IF(K31="修改",I31*'模板使用说明&amp;基础参数'!$E$5*'模板使用说明&amp;基础参数'!$E$11,I31*'模板使用说明&amp;基础参数'!$E$5*'模板使用说明&amp;基础参数'!$E$10)),IF(J31="中",IF(K31="删除",I31*'模板使用说明&amp;基础参数'!$E$6*'模板使用说明&amp;基础参数'!$E$12,IF(K31="修改",I31*'模板使用说明&amp;基础参数'!$E$6*'模板使用说明&amp;基础参数'!$E$11,I31*'模板使用说明&amp;基础参数'!$E$6*'模板使用说明&amp;基础参数'!$E$10)),IF(K31="删除",I31*'模板使用说明&amp;基础参数'!$E$7*'模板使用说明&amp;基础参数'!$E$12,IF(K31="修改",I31*'模板使用说明&amp;基础参数'!$E$7*'模板使用说明&amp;基础参数'!$E$11,I31*'模板使用说明&amp;基础参数'!$E$7*'模板使用说明&amp;基础参数'!$E$10)))))</f>
        <v>1.86666666666666</v>
      </c>
      <c r="M31" s="95"/>
      <c r="N31" s="99"/>
      <c r="O31" s="100"/>
    </row>
    <row r="32" s="70" customFormat="1" ht="25" customHeight="1" spans="1:15">
      <c r="A32" s="93">
        <v>27</v>
      </c>
      <c r="B32" s="94" t="s">
        <v>72</v>
      </c>
      <c r="C32" s="95" t="s">
        <v>129</v>
      </c>
      <c r="D32" s="95" t="s">
        <v>130</v>
      </c>
      <c r="E32" s="95" t="s">
        <v>130</v>
      </c>
      <c r="F32" s="95" t="s">
        <v>133</v>
      </c>
      <c r="G32" s="95" t="s">
        <v>134</v>
      </c>
      <c r="H32" s="93" t="s">
        <v>135</v>
      </c>
      <c r="I32" s="96">
        <f>IF(H32="ILF",IF($C$1="预估功能点",'模板使用说明&amp;基础参数'!$E$15,7),IF(H32="EIF",IF($C$1="预估功能点",'模板使用说明&amp;基础参数'!$E$16,5),IF(H32="EI",IF($C$1="预估功能点",'模板使用说明&amp;基础参数'!$E$17,'模板使用说明&amp;基础参数'!$E$24),IF(H32="EO",IF($C$1="预估功能点",'模板使用说明&amp;基础参数'!$E$18,'模板使用说明&amp;基础参数'!$E$25),IF(H32="EQ",IF($C$1="预估功能点",'模板使用说明&amp;基础参数'!$E$19,'模板使用说明&amp;基础参数'!$E$26),"")))))</f>
        <v>5</v>
      </c>
      <c r="J32" s="97" t="s">
        <v>38</v>
      </c>
      <c r="K32" s="97" t="s">
        <v>78</v>
      </c>
      <c r="L32" s="98">
        <f>IF(I32="","",IF(J32="高",IF(K32="删除",I32*'模板使用说明&amp;基础参数'!$E$5*'模板使用说明&amp;基础参数'!$E$12,IF(K32="修改",I32*'模板使用说明&amp;基础参数'!$E$5*'模板使用说明&amp;基础参数'!$E$11,I32*'模板使用说明&amp;基础参数'!$E$5*'模板使用说明&amp;基础参数'!$E$10)),IF(J32="中",IF(K32="删除",I32*'模板使用说明&amp;基础参数'!$E$6*'模板使用说明&amp;基础参数'!$E$12,IF(K32="修改",I32*'模板使用说明&amp;基础参数'!$E$6*'模板使用说明&amp;基础参数'!$E$11,I32*'模板使用说明&amp;基础参数'!$E$6*'模板使用说明&amp;基础参数'!$E$10)),IF(K32="删除",I32*'模板使用说明&amp;基础参数'!$E$7*'模板使用说明&amp;基础参数'!$E$12,IF(K32="修改",I32*'模板使用说明&amp;基础参数'!$E$7*'模板使用说明&amp;基础参数'!$E$11,I32*'模板使用说明&amp;基础参数'!$E$7*'模板使用说明&amp;基础参数'!$E$10)))))</f>
        <v>1.33333333333333</v>
      </c>
      <c r="M32" s="95"/>
      <c r="N32" s="99"/>
      <c r="O32" s="100"/>
    </row>
    <row r="33" s="70" customFormat="1" ht="25" customHeight="1" spans="1:15">
      <c r="A33" s="93">
        <v>28</v>
      </c>
      <c r="B33" s="94" t="s">
        <v>72</v>
      </c>
      <c r="C33" s="95" t="s">
        <v>129</v>
      </c>
      <c r="D33" s="95" t="s">
        <v>130</v>
      </c>
      <c r="E33" s="95" t="s">
        <v>130</v>
      </c>
      <c r="F33" s="95" t="s">
        <v>136</v>
      </c>
      <c r="G33" s="95" t="s">
        <v>137</v>
      </c>
      <c r="H33" s="93" t="s">
        <v>81</v>
      </c>
      <c r="I33" s="96">
        <f>IF(H33="ILF",IF($C$1="预估功能点",'模板使用说明&amp;基础参数'!$E$15,7),IF(H33="EIF",IF($C$1="预估功能点",'模板使用说明&amp;基础参数'!$E$16,5),IF(H33="EI",IF($C$1="预估功能点",'模板使用说明&amp;基础参数'!$E$17,'模板使用说明&amp;基础参数'!$E$24),IF(H33="EO",IF($C$1="预估功能点",'模板使用说明&amp;基础参数'!$E$18,'模板使用说明&amp;基础参数'!$E$25),IF(H33="EQ",IF($C$1="预估功能点",'模板使用说明&amp;基础参数'!$E$19,'模板使用说明&amp;基础参数'!$E$26),"")))))</f>
        <v>4</v>
      </c>
      <c r="J33" s="97" t="s">
        <v>38</v>
      </c>
      <c r="K33" s="97" t="s">
        <v>78</v>
      </c>
      <c r="L33" s="98">
        <f>IF(I33="","",IF(J33="高",IF(K33="删除",I33*'模板使用说明&amp;基础参数'!$E$5*'模板使用说明&amp;基础参数'!$E$12,IF(K33="修改",I33*'模板使用说明&amp;基础参数'!$E$5*'模板使用说明&amp;基础参数'!$E$11,I33*'模板使用说明&amp;基础参数'!$E$5*'模板使用说明&amp;基础参数'!$E$10)),IF(J33="中",IF(K33="删除",I33*'模板使用说明&amp;基础参数'!$E$6*'模板使用说明&amp;基础参数'!$E$12,IF(K33="修改",I33*'模板使用说明&amp;基础参数'!$E$6*'模板使用说明&amp;基础参数'!$E$11,I33*'模板使用说明&amp;基础参数'!$E$6*'模板使用说明&amp;基础参数'!$E$10)),IF(K33="删除",I33*'模板使用说明&amp;基础参数'!$E$7*'模板使用说明&amp;基础参数'!$E$12,IF(K33="修改",I33*'模板使用说明&amp;基础参数'!$E$7*'模板使用说明&amp;基础参数'!$E$11,I33*'模板使用说明&amp;基础参数'!$E$7*'模板使用说明&amp;基础参数'!$E$10)))))</f>
        <v>1.06666666666667</v>
      </c>
      <c r="M33" s="95"/>
      <c r="N33" s="99"/>
      <c r="O33" s="100"/>
    </row>
    <row r="34" s="70" customFormat="1" ht="25" customHeight="1" spans="1:15">
      <c r="A34" s="93">
        <v>29</v>
      </c>
      <c r="B34" s="94" t="s">
        <v>72</v>
      </c>
      <c r="C34" s="95" t="s">
        <v>129</v>
      </c>
      <c r="D34" s="95" t="s">
        <v>130</v>
      </c>
      <c r="E34" s="95" t="s">
        <v>130</v>
      </c>
      <c r="F34" s="95" t="s">
        <v>138</v>
      </c>
      <c r="G34" s="95" t="s">
        <v>139</v>
      </c>
      <c r="H34" s="93" t="s">
        <v>84</v>
      </c>
      <c r="I34" s="96">
        <f>IF(H34="ILF",IF($C$1="预估功能点",'模板使用说明&amp;基础参数'!$E$15,7),IF(H34="EIF",IF($C$1="预估功能点",'模板使用说明&amp;基础参数'!$E$16,5),IF(H34="EI",IF($C$1="预估功能点",'模板使用说明&amp;基础参数'!$E$17,'模板使用说明&amp;基础参数'!$E$24),IF(H34="EO",IF($C$1="预估功能点",'模板使用说明&amp;基础参数'!$E$18,'模板使用说明&amp;基础参数'!$E$25),IF(H34="EQ",IF($C$1="预估功能点",'模板使用说明&amp;基础参数'!$E$19,'模板使用说明&amp;基础参数'!$E$26),"")))))</f>
        <v>4</v>
      </c>
      <c r="J34" s="97" t="s">
        <v>38</v>
      </c>
      <c r="K34" s="97" t="s">
        <v>78</v>
      </c>
      <c r="L34" s="98">
        <f>IF(I34="","",IF(J34="高",IF(K34="删除",I34*'模板使用说明&amp;基础参数'!$E$5*'模板使用说明&amp;基础参数'!$E$12,IF(K34="修改",I34*'模板使用说明&amp;基础参数'!$E$5*'模板使用说明&amp;基础参数'!$E$11,I34*'模板使用说明&amp;基础参数'!$E$5*'模板使用说明&amp;基础参数'!$E$10)),IF(J34="中",IF(K34="删除",I34*'模板使用说明&amp;基础参数'!$E$6*'模板使用说明&amp;基础参数'!$E$12,IF(K34="修改",I34*'模板使用说明&amp;基础参数'!$E$6*'模板使用说明&amp;基础参数'!$E$11,I34*'模板使用说明&amp;基础参数'!$E$6*'模板使用说明&amp;基础参数'!$E$10)),IF(K34="删除",I34*'模板使用说明&amp;基础参数'!$E$7*'模板使用说明&amp;基础参数'!$E$12,IF(K34="修改",I34*'模板使用说明&amp;基础参数'!$E$7*'模板使用说明&amp;基础参数'!$E$11,I34*'模板使用说明&amp;基础参数'!$E$7*'模板使用说明&amp;基础参数'!$E$10)))))</f>
        <v>1.06666666666667</v>
      </c>
      <c r="M34" s="95"/>
      <c r="N34" s="99"/>
      <c r="O34" s="100"/>
    </row>
    <row r="35" s="70" customFormat="1" ht="25" customHeight="1" spans="1:15">
      <c r="A35" s="93">
        <v>30</v>
      </c>
      <c r="B35" s="94" t="s">
        <v>72</v>
      </c>
      <c r="C35" s="95" t="s">
        <v>129</v>
      </c>
      <c r="D35" s="95" t="s">
        <v>130</v>
      </c>
      <c r="E35" s="95" t="s">
        <v>130</v>
      </c>
      <c r="F35" s="95" t="s">
        <v>140</v>
      </c>
      <c r="G35" s="95" t="s">
        <v>141</v>
      </c>
      <c r="H35" s="93" t="s">
        <v>84</v>
      </c>
      <c r="I35" s="96">
        <f>IF(H35="ILF",IF($C$1="预估功能点",'模板使用说明&amp;基础参数'!$E$15,7),IF(H35="EIF",IF($C$1="预估功能点",'模板使用说明&amp;基础参数'!$E$16,5),IF(H35="EI",IF($C$1="预估功能点",'模板使用说明&amp;基础参数'!$E$17,'模板使用说明&amp;基础参数'!$E$24),IF(H35="EO",IF($C$1="预估功能点",'模板使用说明&amp;基础参数'!$E$18,'模板使用说明&amp;基础参数'!$E$25),IF(H35="EQ",IF($C$1="预估功能点",'模板使用说明&amp;基础参数'!$E$19,'模板使用说明&amp;基础参数'!$E$26),"")))))</f>
        <v>4</v>
      </c>
      <c r="J35" s="97" t="s">
        <v>38</v>
      </c>
      <c r="K35" s="97" t="s">
        <v>78</v>
      </c>
      <c r="L35" s="98">
        <f>IF(I35="","",IF(J35="高",IF(K35="删除",I35*'模板使用说明&amp;基础参数'!$E$5*'模板使用说明&amp;基础参数'!$E$12,IF(K35="修改",I35*'模板使用说明&amp;基础参数'!$E$5*'模板使用说明&amp;基础参数'!$E$11,I35*'模板使用说明&amp;基础参数'!$E$5*'模板使用说明&amp;基础参数'!$E$10)),IF(J35="中",IF(K35="删除",I35*'模板使用说明&amp;基础参数'!$E$6*'模板使用说明&amp;基础参数'!$E$12,IF(K35="修改",I35*'模板使用说明&amp;基础参数'!$E$6*'模板使用说明&amp;基础参数'!$E$11,I35*'模板使用说明&amp;基础参数'!$E$6*'模板使用说明&amp;基础参数'!$E$10)),IF(K35="删除",I35*'模板使用说明&amp;基础参数'!$E$7*'模板使用说明&amp;基础参数'!$E$12,IF(K35="修改",I35*'模板使用说明&amp;基础参数'!$E$7*'模板使用说明&amp;基础参数'!$E$11,I35*'模板使用说明&amp;基础参数'!$E$7*'模板使用说明&amp;基础参数'!$E$10)))))</f>
        <v>1.06666666666667</v>
      </c>
      <c r="M35" s="95"/>
      <c r="N35" s="99"/>
      <c r="O35" s="100"/>
    </row>
    <row r="36" s="70" customFormat="1" ht="25" customHeight="1" spans="1:15">
      <c r="A36" s="93">
        <v>31</v>
      </c>
      <c r="B36" s="94" t="s">
        <v>72</v>
      </c>
      <c r="C36" s="95" t="s">
        <v>129</v>
      </c>
      <c r="D36" s="95" t="s">
        <v>130</v>
      </c>
      <c r="E36" s="95" t="s">
        <v>130</v>
      </c>
      <c r="F36" s="95" t="s">
        <v>142</v>
      </c>
      <c r="G36" s="95" t="s">
        <v>143</v>
      </c>
      <c r="H36" s="93" t="s">
        <v>84</v>
      </c>
      <c r="I36" s="96">
        <f>IF(H36="ILF",IF($C$1="预估功能点",'模板使用说明&amp;基础参数'!$E$15,7),IF(H36="EIF",IF($C$1="预估功能点",'模板使用说明&amp;基础参数'!$E$16,5),IF(H36="EI",IF($C$1="预估功能点",'模板使用说明&amp;基础参数'!$E$17,'模板使用说明&amp;基础参数'!$E$24),IF(H36="EO",IF($C$1="预估功能点",'模板使用说明&amp;基础参数'!$E$18,'模板使用说明&amp;基础参数'!$E$25),IF(H36="EQ",IF($C$1="预估功能点",'模板使用说明&amp;基础参数'!$E$19,'模板使用说明&amp;基础参数'!$E$26),"")))))</f>
        <v>4</v>
      </c>
      <c r="J36" s="97" t="s">
        <v>38</v>
      </c>
      <c r="K36" s="97" t="s">
        <v>78</v>
      </c>
      <c r="L36" s="98">
        <f>IF(I36="","",IF(J36="高",IF(K36="删除",I36*'模板使用说明&amp;基础参数'!$E$5*'模板使用说明&amp;基础参数'!$E$12,IF(K36="修改",I36*'模板使用说明&amp;基础参数'!$E$5*'模板使用说明&amp;基础参数'!$E$11,I36*'模板使用说明&amp;基础参数'!$E$5*'模板使用说明&amp;基础参数'!$E$10)),IF(J36="中",IF(K36="删除",I36*'模板使用说明&amp;基础参数'!$E$6*'模板使用说明&amp;基础参数'!$E$12,IF(K36="修改",I36*'模板使用说明&amp;基础参数'!$E$6*'模板使用说明&amp;基础参数'!$E$11,I36*'模板使用说明&amp;基础参数'!$E$6*'模板使用说明&amp;基础参数'!$E$10)),IF(K36="删除",I36*'模板使用说明&amp;基础参数'!$E$7*'模板使用说明&amp;基础参数'!$E$12,IF(K36="修改",I36*'模板使用说明&amp;基础参数'!$E$7*'模板使用说明&amp;基础参数'!$E$11,I36*'模板使用说明&amp;基础参数'!$E$7*'模板使用说明&amp;基础参数'!$E$10)))))</f>
        <v>1.06666666666667</v>
      </c>
      <c r="M36" s="95"/>
      <c r="N36" s="99"/>
      <c r="O36" s="100"/>
    </row>
    <row r="37" s="70" customFormat="1" ht="25" customHeight="1" spans="1:15">
      <c r="A37" s="93">
        <v>32</v>
      </c>
      <c r="B37" s="94" t="s">
        <v>72</v>
      </c>
      <c r="C37" s="95" t="s">
        <v>144</v>
      </c>
      <c r="D37" s="95" t="s">
        <v>145</v>
      </c>
      <c r="E37" s="95" t="s">
        <v>145</v>
      </c>
      <c r="F37" s="95" t="s">
        <v>146</v>
      </c>
      <c r="G37" s="95" t="s">
        <v>147</v>
      </c>
      <c r="H37" s="93" t="s">
        <v>77</v>
      </c>
      <c r="I37" s="96">
        <f>IF(H37="ILF",IF($C$1="预估功能点",'模板使用说明&amp;基础参数'!$E$15,7),IF(H37="EIF",IF($C$1="预估功能点",'模板使用说明&amp;基础参数'!$E$16,5),IF(H37="EI",IF($C$1="预估功能点",'模板使用说明&amp;基础参数'!$E$17,'模板使用说明&amp;基础参数'!$E$24),IF(H37="EO",IF($C$1="预估功能点",'模板使用说明&amp;基础参数'!$E$18,'模板使用说明&amp;基础参数'!$E$25),IF(H37="EQ",IF($C$1="预估功能点",'模板使用说明&amp;基础参数'!$E$19,'模板使用说明&amp;基础参数'!$E$26),"")))))</f>
        <v>7</v>
      </c>
      <c r="J37" s="97" t="s">
        <v>38</v>
      </c>
      <c r="K37" s="97" t="s">
        <v>78</v>
      </c>
      <c r="L37" s="98">
        <f>IF(I37="","",IF(J37="高",IF(K37="删除",I37*'模板使用说明&amp;基础参数'!$E$5*'模板使用说明&amp;基础参数'!$E$12,IF(K37="修改",I37*'模板使用说明&amp;基础参数'!$E$5*'模板使用说明&amp;基础参数'!$E$11,I37*'模板使用说明&amp;基础参数'!$E$5*'模板使用说明&amp;基础参数'!$E$10)),IF(J37="中",IF(K37="删除",I37*'模板使用说明&amp;基础参数'!$E$6*'模板使用说明&amp;基础参数'!$E$12,IF(K37="修改",I37*'模板使用说明&amp;基础参数'!$E$6*'模板使用说明&amp;基础参数'!$E$11,I37*'模板使用说明&amp;基础参数'!$E$6*'模板使用说明&amp;基础参数'!$E$10)),IF(K37="删除",I37*'模板使用说明&amp;基础参数'!$E$7*'模板使用说明&amp;基础参数'!$E$12,IF(K37="修改",I37*'模板使用说明&amp;基础参数'!$E$7*'模板使用说明&amp;基础参数'!$E$11,I37*'模板使用说明&amp;基础参数'!$E$7*'模板使用说明&amp;基础参数'!$E$10)))))</f>
        <v>1.86666666666666</v>
      </c>
      <c r="M37" s="95"/>
      <c r="N37" s="99"/>
      <c r="O37" s="100"/>
    </row>
    <row r="38" s="70" customFormat="1" ht="25" customHeight="1" spans="1:15">
      <c r="A38" s="93">
        <v>33</v>
      </c>
      <c r="B38" s="94" t="s">
        <v>72</v>
      </c>
      <c r="C38" s="95" t="s">
        <v>144</v>
      </c>
      <c r="D38" s="95" t="s">
        <v>145</v>
      </c>
      <c r="E38" s="95" t="s">
        <v>145</v>
      </c>
      <c r="F38" s="95" t="s">
        <v>148</v>
      </c>
      <c r="G38" s="95" t="s">
        <v>149</v>
      </c>
      <c r="H38" s="93" t="s">
        <v>81</v>
      </c>
      <c r="I38" s="96">
        <f>IF(H38="ILF",IF($C$1="预估功能点",'模板使用说明&amp;基础参数'!$E$15,7),IF(H38="EIF",IF($C$1="预估功能点",'模板使用说明&amp;基础参数'!$E$16,5),IF(H38="EI",IF($C$1="预估功能点",'模板使用说明&amp;基础参数'!$E$17,'模板使用说明&amp;基础参数'!$E$24),IF(H38="EO",IF($C$1="预估功能点",'模板使用说明&amp;基础参数'!$E$18,'模板使用说明&amp;基础参数'!$E$25),IF(H38="EQ",IF($C$1="预估功能点",'模板使用说明&amp;基础参数'!$E$19,'模板使用说明&amp;基础参数'!$E$26),"")))))</f>
        <v>4</v>
      </c>
      <c r="J38" s="97" t="s">
        <v>38</v>
      </c>
      <c r="K38" s="97" t="s">
        <v>78</v>
      </c>
      <c r="L38" s="98">
        <f>IF(I38="","",IF(J38="高",IF(K38="删除",I38*'模板使用说明&amp;基础参数'!$E$5*'模板使用说明&amp;基础参数'!$E$12,IF(K38="修改",I38*'模板使用说明&amp;基础参数'!$E$5*'模板使用说明&amp;基础参数'!$E$11,I38*'模板使用说明&amp;基础参数'!$E$5*'模板使用说明&amp;基础参数'!$E$10)),IF(J38="中",IF(K38="删除",I38*'模板使用说明&amp;基础参数'!$E$6*'模板使用说明&amp;基础参数'!$E$12,IF(K38="修改",I38*'模板使用说明&amp;基础参数'!$E$6*'模板使用说明&amp;基础参数'!$E$11,I38*'模板使用说明&amp;基础参数'!$E$6*'模板使用说明&amp;基础参数'!$E$10)),IF(K38="删除",I38*'模板使用说明&amp;基础参数'!$E$7*'模板使用说明&amp;基础参数'!$E$12,IF(K38="修改",I38*'模板使用说明&amp;基础参数'!$E$7*'模板使用说明&amp;基础参数'!$E$11,I38*'模板使用说明&amp;基础参数'!$E$7*'模板使用说明&amp;基础参数'!$E$10)))))</f>
        <v>1.06666666666667</v>
      </c>
      <c r="M38" s="95"/>
      <c r="N38" s="99"/>
      <c r="O38" s="100"/>
    </row>
    <row r="39" s="70" customFormat="1" ht="25" customHeight="1" spans="1:15">
      <c r="A39" s="93">
        <v>34</v>
      </c>
      <c r="B39" s="94" t="s">
        <v>72</v>
      </c>
      <c r="C39" s="95" t="s">
        <v>144</v>
      </c>
      <c r="D39" s="95" t="s">
        <v>145</v>
      </c>
      <c r="E39" s="95" t="s">
        <v>145</v>
      </c>
      <c r="F39" s="95" t="s">
        <v>150</v>
      </c>
      <c r="G39" s="95" t="s">
        <v>151</v>
      </c>
      <c r="H39" s="93" t="s">
        <v>84</v>
      </c>
      <c r="I39" s="96">
        <f>IF(H39="ILF",IF($C$1="预估功能点",'模板使用说明&amp;基础参数'!$E$15,7),IF(H39="EIF",IF($C$1="预估功能点",'模板使用说明&amp;基础参数'!$E$16,5),IF(H39="EI",IF($C$1="预估功能点",'模板使用说明&amp;基础参数'!$E$17,'模板使用说明&amp;基础参数'!$E$24),IF(H39="EO",IF($C$1="预估功能点",'模板使用说明&amp;基础参数'!$E$18,'模板使用说明&amp;基础参数'!$E$25),IF(H39="EQ",IF($C$1="预估功能点",'模板使用说明&amp;基础参数'!$E$19,'模板使用说明&amp;基础参数'!$E$26),"")))))</f>
        <v>4</v>
      </c>
      <c r="J39" s="97" t="s">
        <v>38</v>
      </c>
      <c r="K39" s="97" t="s">
        <v>78</v>
      </c>
      <c r="L39" s="98">
        <f>IF(I39="","",IF(J39="高",IF(K39="删除",I39*'模板使用说明&amp;基础参数'!$E$5*'模板使用说明&amp;基础参数'!$E$12,IF(K39="修改",I39*'模板使用说明&amp;基础参数'!$E$5*'模板使用说明&amp;基础参数'!$E$11,I39*'模板使用说明&amp;基础参数'!$E$5*'模板使用说明&amp;基础参数'!$E$10)),IF(J39="中",IF(K39="删除",I39*'模板使用说明&amp;基础参数'!$E$6*'模板使用说明&amp;基础参数'!$E$12,IF(K39="修改",I39*'模板使用说明&amp;基础参数'!$E$6*'模板使用说明&amp;基础参数'!$E$11,I39*'模板使用说明&amp;基础参数'!$E$6*'模板使用说明&amp;基础参数'!$E$10)),IF(K39="删除",I39*'模板使用说明&amp;基础参数'!$E$7*'模板使用说明&amp;基础参数'!$E$12,IF(K39="修改",I39*'模板使用说明&amp;基础参数'!$E$7*'模板使用说明&amp;基础参数'!$E$11,I39*'模板使用说明&amp;基础参数'!$E$7*'模板使用说明&amp;基础参数'!$E$10)))))</f>
        <v>1.06666666666667</v>
      </c>
      <c r="M39" s="95"/>
      <c r="N39" s="99"/>
      <c r="O39" s="100"/>
    </row>
    <row r="40" s="70" customFormat="1" ht="25" customHeight="1" spans="1:15">
      <c r="A40" s="93">
        <v>35</v>
      </c>
      <c r="B40" s="94" t="s">
        <v>72</v>
      </c>
      <c r="C40" s="95" t="s">
        <v>144</v>
      </c>
      <c r="D40" s="95" t="s">
        <v>145</v>
      </c>
      <c r="E40" s="95" t="s">
        <v>145</v>
      </c>
      <c r="F40" s="95" t="s">
        <v>152</v>
      </c>
      <c r="G40" s="95" t="s">
        <v>153</v>
      </c>
      <c r="H40" s="93" t="s">
        <v>84</v>
      </c>
      <c r="I40" s="96">
        <f>IF(H40="ILF",IF($C$1="预估功能点",'模板使用说明&amp;基础参数'!$E$15,7),IF(H40="EIF",IF($C$1="预估功能点",'模板使用说明&amp;基础参数'!$E$16,5),IF(H40="EI",IF($C$1="预估功能点",'模板使用说明&amp;基础参数'!$E$17,'模板使用说明&amp;基础参数'!$E$24),IF(H40="EO",IF($C$1="预估功能点",'模板使用说明&amp;基础参数'!$E$18,'模板使用说明&amp;基础参数'!$E$25),IF(H40="EQ",IF($C$1="预估功能点",'模板使用说明&amp;基础参数'!$E$19,'模板使用说明&amp;基础参数'!$E$26),"")))))</f>
        <v>4</v>
      </c>
      <c r="J40" s="97" t="s">
        <v>38</v>
      </c>
      <c r="K40" s="97" t="s">
        <v>78</v>
      </c>
      <c r="L40" s="98">
        <f>IF(I40="","",IF(J40="高",IF(K40="删除",I40*'模板使用说明&amp;基础参数'!$E$5*'模板使用说明&amp;基础参数'!$E$12,IF(K40="修改",I40*'模板使用说明&amp;基础参数'!$E$5*'模板使用说明&amp;基础参数'!$E$11,I40*'模板使用说明&amp;基础参数'!$E$5*'模板使用说明&amp;基础参数'!$E$10)),IF(J40="中",IF(K40="删除",I40*'模板使用说明&amp;基础参数'!$E$6*'模板使用说明&amp;基础参数'!$E$12,IF(K40="修改",I40*'模板使用说明&amp;基础参数'!$E$6*'模板使用说明&amp;基础参数'!$E$11,I40*'模板使用说明&amp;基础参数'!$E$6*'模板使用说明&amp;基础参数'!$E$10)),IF(K40="删除",I40*'模板使用说明&amp;基础参数'!$E$7*'模板使用说明&amp;基础参数'!$E$12,IF(K40="修改",I40*'模板使用说明&amp;基础参数'!$E$7*'模板使用说明&amp;基础参数'!$E$11,I40*'模板使用说明&amp;基础参数'!$E$7*'模板使用说明&amp;基础参数'!$E$10)))))</f>
        <v>1.06666666666667</v>
      </c>
      <c r="M40" s="95"/>
      <c r="N40" s="99"/>
      <c r="O40" s="100"/>
    </row>
    <row r="41" s="70" customFormat="1" ht="25" customHeight="1" spans="1:15">
      <c r="A41" s="93">
        <v>36</v>
      </c>
      <c r="B41" s="94" t="s">
        <v>72</v>
      </c>
      <c r="C41" s="95" t="s">
        <v>154</v>
      </c>
      <c r="D41" s="95" t="s">
        <v>155</v>
      </c>
      <c r="E41" s="95" t="s">
        <v>155</v>
      </c>
      <c r="F41" s="95" t="s">
        <v>156</v>
      </c>
      <c r="G41" s="95" t="s">
        <v>157</v>
      </c>
      <c r="H41" s="93" t="s">
        <v>77</v>
      </c>
      <c r="I41" s="96">
        <f>IF(H41="ILF",IF($C$1="预估功能点",'模板使用说明&amp;基础参数'!$E$15,7),IF(H41="EIF",IF($C$1="预估功能点",'模板使用说明&amp;基础参数'!$E$16,5),IF(H41="EI",IF($C$1="预估功能点",'模板使用说明&amp;基础参数'!$E$17,'模板使用说明&amp;基础参数'!$E$24),IF(H41="EO",IF($C$1="预估功能点",'模板使用说明&amp;基础参数'!$E$18,'模板使用说明&amp;基础参数'!$E$25),IF(H41="EQ",IF($C$1="预估功能点",'模板使用说明&amp;基础参数'!$E$19,'模板使用说明&amp;基础参数'!$E$26),"")))))</f>
        <v>7</v>
      </c>
      <c r="J41" s="97" t="s">
        <v>38</v>
      </c>
      <c r="K41" s="97" t="s">
        <v>78</v>
      </c>
      <c r="L41" s="98">
        <f>IF(I41="","",IF(J41="高",IF(K41="删除",I41*'模板使用说明&amp;基础参数'!$E$5*'模板使用说明&amp;基础参数'!$E$12,IF(K41="修改",I41*'模板使用说明&amp;基础参数'!$E$5*'模板使用说明&amp;基础参数'!$E$11,I41*'模板使用说明&amp;基础参数'!$E$5*'模板使用说明&amp;基础参数'!$E$10)),IF(J41="中",IF(K41="删除",I41*'模板使用说明&amp;基础参数'!$E$6*'模板使用说明&amp;基础参数'!$E$12,IF(K41="修改",I41*'模板使用说明&amp;基础参数'!$E$6*'模板使用说明&amp;基础参数'!$E$11,I41*'模板使用说明&amp;基础参数'!$E$6*'模板使用说明&amp;基础参数'!$E$10)),IF(K41="删除",I41*'模板使用说明&amp;基础参数'!$E$7*'模板使用说明&amp;基础参数'!$E$12,IF(K41="修改",I41*'模板使用说明&amp;基础参数'!$E$7*'模板使用说明&amp;基础参数'!$E$11,I41*'模板使用说明&amp;基础参数'!$E$7*'模板使用说明&amp;基础参数'!$E$10)))))</f>
        <v>1.86666666666666</v>
      </c>
      <c r="M41" s="95"/>
      <c r="N41" s="99"/>
      <c r="O41" s="100"/>
    </row>
    <row r="42" s="70" customFormat="1" ht="25" customHeight="1" spans="1:15">
      <c r="A42" s="93">
        <v>37</v>
      </c>
      <c r="B42" s="94" t="s">
        <v>72</v>
      </c>
      <c r="C42" s="95" t="s">
        <v>154</v>
      </c>
      <c r="D42" s="95" t="s">
        <v>155</v>
      </c>
      <c r="E42" s="95" t="s">
        <v>155</v>
      </c>
      <c r="F42" s="95" t="s">
        <v>158</v>
      </c>
      <c r="G42" s="95" t="s">
        <v>159</v>
      </c>
      <c r="H42" s="93" t="s">
        <v>81</v>
      </c>
      <c r="I42" s="96">
        <f>IF(H42="ILF",IF($C$1="预估功能点",'模板使用说明&amp;基础参数'!$E$15,7),IF(H42="EIF",IF($C$1="预估功能点",'模板使用说明&amp;基础参数'!$E$16,5),IF(H42="EI",IF($C$1="预估功能点",'模板使用说明&amp;基础参数'!$E$17,'模板使用说明&amp;基础参数'!$E$24),IF(H42="EO",IF($C$1="预估功能点",'模板使用说明&amp;基础参数'!$E$18,'模板使用说明&amp;基础参数'!$E$25),IF(H42="EQ",IF($C$1="预估功能点",'模板使用说明&amp;基础参数'!$E$19,'模板使用说明&amp;基础参数'!$E$26),"")))))</f>
        <v>4</v>
      </c>
      <c r="J42" s="97" t="s">
        <v>38</v>
      </c>
      <c r="K42" s="97" t="s">
        <v>78</v>
      </c>
      <c r="L42" s="98">
        <f>IF(I42="","",IF(J42="高",IF(K42="删除",I42*'模板使用说明&amp;基础参数'!$E$5*'模板使用说明&amp;基础参数'!$E$12,IF(K42="修改",I42*'模板使用说明&amp;基础参数'!$E$5*'模板使用说明&amp;基础参数'!$E$11,I42*'模板使用说明&amp;基础参数'!$E$5*'模板使用说明&amp;基础参数'!$E$10)),IF(J42="中",IF(K42="删除",I42*'模板使用说明&amp;基础参数'!$E$6*'模板使用说明&amp;基础参数'!$E$12,IF(K42="修改",I42*'模板使用说明&amp;基础参数'!$E$6*'模板使用说明&amp;基础参数'!$E$11,I42*'模板使用说明&amp;基础参数'!$E$6*'模板使用说明&amp;基础参数'!$E$10)),IF(K42="删除",I42*'模板使用说明&amp;基础参数'!$E$7*'模板使用说明&amp;基础参数'!$E$12,IF(K42="修改",I42*'模板使用说明&amp;基础参数'!$E$7*'模板使用说明&amp;基础参数'!$E$11,I42*'模板使用说明&amp;基础参数'!$E$7*'模板使用说明&amp;基础参数'!$E$10)))))</f>
        <v>1.06666666666667</v>
      </c>
      <c r="M42" s="95"/>
      <c r="N42" s="99"/>
      <c r="O42" s="100"/>
    </row>
    <row r="43" s="70" customFormat="1" ht="25" customHeight="1" spans="1:15">
      <c r="A43" s="93">
        <v>38</v>
      </c>
      <c r="B43" s="94" t="s">
        <v>72</v>
      </c>
      <c r="C43" s="95" t="s">
        <v>154</v>
      </c>
      <c r="D43" s="95" t="s">
        <v>155</v>
      </c>
      <c r="E43" s="95" t="s">
        <v>155</v>
      </c>
      <c r="F43" s="95" t="s">
        <v>160</v>
      </c>
      <c r="G43" s="95" t="s">
        <v>161</v>
      </c>
      <c r="H43" s="93" t="s">
        <v>84</v>
      </c>
      <c r="I43" s="96">
        <f>IF(H43="ILF",IF($C$1="预估功能点",'模板使用说明&amp;基础参数'!$E$15,7),IF(H43="EIF",IF($C$1="预估功能点",'模板使用说明&amp;基础参数'!$E$16,5),IF(H43="EI",IF($C$1="预估功能点",'模板使用说明&amp;基础参数'!$E$17,'模板使用说明&amp;基础参数'!$E$24),IF(H43="EO",IF($C$1="预估功能点",'模板使用说明&amp;基础参数'!$E$18,'模板使用说明&amp;基础参数'!$E$25),IF(H43="EQ",IF($C$1="预估功能点",'模板使用说明&amp;基础参数'!$E$19,'模板使用说明&amp;基础参数'!$E$26),"")))))</f>
        <v>4</v>
      </c>
      <c r="J43" s="97" t="s">
        <v>38</v>
      </c>
      <c r="K43" s="97" t="s">
        <v>78</v>
      </c>
      <c r="L43" s="98">
        <f>IF(I43="","",IF(J43="高",IF(K43="删除",I43*'模板使用说明&amp;基础参数'!$E$5*'模板使用说明&amp;基础参数'!$E$12,IF(K43="修改",I43*'模板使用说明&amp;基础参数'!$E$5*'模板使用说明&amp;基础参数'!$E$11,I43*'模板使用说明&amp;基础参数'!$E$5*'模板使用说明&amp;基础参数'!$E$10)),IF(J43="中",IF(K43="删除",I43*'模板使用说明&amp;基础参数'!$E$6*'模板使用说明&amp;基础参数'!$E$12,IF(K43="修改",I43*'模板使用说明&amp;基础参数'!$E$6*'模板使用说明&amp;基础参数'!$E$11,I43*'模板使用说明&amp;基础参数'!$E$6*'模板使用说明&amp;基础参数'!$E$10)),IF(K43="删除",I43*'模板使用说明&amp;基础参数'!$E$7*'模板使用说明&amp;基础参数'!$E$12,IF(K43="修改",I43*'模板使用说明&amp;基础参数'!$E$7*'模板使用说明&amp;基础参数'!$E$11,I43*'模板使用说明&amp;基础参数'!$E$7*'模板使用说明&amp;基础参数'!$E$10)))))</f>
        <v>1.06666666666667</v>
      </c>
      <c r="M43" s="95"/>
      <c r="N43" s="99"/>
      <c r="O43" s="100"/>
    </row>
    <row r="44" s="70" customFormat="1" ht="25" customHeight="1" spans="1:15">
      <c r="A44" s="93">
        <v>39</v>
      </c>
      <c r="B44" s="94" t="s">
        <v>72</v>
      </c>
      <c r="C44" s="95" t="s">
        <v>154</v>
      </c>
      <c r="D44" s="95" t="s">
        <v>155</v>
      </c>
      <c r="E44" s="95" t="s">
        <v>155</v>
      </c>
      <c r="F44" s="95" t="s">
        <v>162</v>
      </c>
      <c r="G44" s="95" t="s">
        <v>163</v>
      </c>
      <c r="H44" s="93" t="s">
        <v>84</v>
      </c>
      <c r="I44" s="96">
        <f>IF(H44="ILF",IF($C$1="预估功能点",'模板使用说明&amp;基础参数'!$E$15,7),IF(H44="EIF",IF($C$1="预估功能点",'模板使用说明&amp;基础参数'!$E$16,5),IF(H44="EI",IF($C$1="预估功能点",'模板使用说明&amp;基础参数'!$E$17,'模板使用说明&amp;基础参数'!$E$24),IF(H44="EO",IF($C$1="预估功能点",'模板使用说明&amp;基础参数'!$E$18,'模板使用说明&amp;基础参数'!$E$25),IF(H44="EQ",IF($C$1="预估功能点",'模板使用说明&amp;基础参数'!$E$19,'模板使用说明&amp;基础参数'!$E$26),"")))))</f>
        <v>4</v>
      </c>
      <c r="J44" s="97" t="s">
        <v>38</v>
      </c>
      <c r="K44" s="97" t="s">
        <v>78</v>
      </c>
      <c r="L44" s="98">
        <f>IF(I44="","",IF(J44="高",IF(K44="删除",I44*'模板使用说明&amp;基础参数'!$E$5*'模板使用说明&amp;基础参数'!$E$12,IF(K44="修改",I44*'模板使用说明&amp;基础参数'!$E$5*'模板使用说明&amp;基础参数'!$E$11,I44*'模板使用说明&amp;基础参数'!$E$5*'模板使用说明&amp;基础参数'!$E$10)),IF(J44="中",IF(K44="删除",I44*'模板使用说明&amp;基础参数'!$E$6*'模板使用说明&amp;基础参数'!$E$12,IF(K44="修改",I44*'模板使用说明&amp;基础参数'!$E$6*'模板使用说明&amp;基础参数'!$E$11,I44*'模板使用说明&amp;基础参数'!$E$6*'模板使用说明&amp;基础参数'!$E$10)),IF(K44="删除",I44*'模板使用说明&amp;基础参数'!$E$7*'模板使用说明&amp;基础参数'!$E$12,IF(K44="修改",I44*'模板使用说明&amp;基础参数'!$E$7*'模板使用说明&amp;基础参数'!$E$11,I44*'模板使用说明&amp;基础参数'!$E$7*'模板使用说明&amp;基础参数'!$E$10)))))</f>
        <v>1.06666666666667</v>
      </c>
      <c r="M44" s="95"/>
      <c r="N44" s="99"/>
      <c r="O44" s="100"/>
    </row>
    <row r="45" s="70" customFormat="1" ht="25" customHeight="1" spans="1:15">
      <c r="A45" s="93">
        <v>40</v>
      </c>
      <c r="B45" s="94" t="s">
        <v>72</v>
      </c>
      <c r="C45" s="95" t="s">
        <v>154</v>
      </c>
      <c r="D45" s="95" t="s">
        <v>155</v>
      </c>
      <c r="E45" s="95" t="s">
        <v>155</v>
      </c>
      <c r="F45" s="95" t="s">
        <v>164</v>
      </c>
      <c r="G45" s="95" t="s">
        <v>165</v>
      </c>
      <c r="H45" s="93" t="s">
        <v>84</v>
      </c>
      <c r="I45" s="96">
        <f>IF(H45="ILF",IF($C$1="预估功能点",'模板使用说明&amp;基础参数'!$E$15,7),IF(H45="EIF",IF($C$1="预估功能点",'模板使用说明&amp;基础参数'!$E$16,5),IF(H45="EI",IF($C$1="预估功能点",'模板使用说明&amp;基础参数'!$E$17,'模板使用说明&amp;基础参数'!$E$24),IF(H45="EO",IF($C$1="预估功能点",'模板使用说明&amp;基础参数'!$E$18,'模板使用说明&amp;基础参数'!$E$25),IF(H45="EQ",IF($C$1="预估功能点",'模板使用说明&amp;基础参数'!$E$19,'模板使用说明&amp;基础参数'!$E$26),"")))))</f>
        <v>4</v>
      </c>
      <c r="J45" s="97" t="s">
        <v>38</v>
      </c>
      <c r="K45" s="97" t="s">
        <v>78</v>
      </c>
      <c r="L45" s="98">
        <f>IF(I45="","",IF(J45="高",IF(K45="删除",I45*'模板使用说明&amp;基础参数'!$E$5*'模板使用说明&amp;基础参数'!$E$12,IF(K45="修改",I45*'模板使用说明&amp;基础参数'!$E$5*'模板使用说明&amp;基础参数'!$E$11,I45*'模板使用说明&amp;基础参数'!$E$5*'模板使用说明&amp;基础参数'!$E$10)),IF(J45="中",IF(K45="删除",I45*'模板使用说明&amp;基础参数'!$E$6*'模板使用说明&amp;基础参数'!$E$12,IF(K45="修改",I45*'模板使用说明&amp;基础参数'!$E$6*'模板使用说明&amp;基础参数'!$E$11,I45*'模板使用说明&amp;基础参数'!$E$6*'模板使用说明&amp;基础参数'!$E$10)),IF(K45="删除",I45*'模板使用说明&amp;基础参数'!$E$7*'模板使用说明&amp;基础参数'!$E$12,IF(K45="修改",I45*'模板使用说明&amp;基础参数'!$E$7*'模板使用说明&amp;基础参数'!$E$11,I45*'模板使用说明&amp;基础参数'!$E$7*'模板使用说明&amp;基础参数'!$E$10)))))</f>
        <v>1.06666666666667</v>
      </c>
      <c r="M45" s="95"/>
      <c r="N45" s="99"/>
      <c r="O45" s="100"/>
    </row>
    <row r="46" s="70" customFormat="1" ht="25" customHeight="1" spans="1:15">
      <c r="A46" s="93">
        <v>41</v>
      </c>
      <c r="B46" s="94" t="s">
        <v>72</v>
      </c>
      <c r="C46" s="95" t="s">
        <v>129</v>
      </c>
      <c r="D46" s="95" t="s">
        <v>130</v>
      </c>
      <c r="E46" s="95" t="s">
        <v>130</v>
      </c>
      <c r="F46" s="95" t="s">
        <v>166</v>
      </c>
      <c r="G46" s="95" t="s">
        <v>167</v>
      </c>
      <c r="H46" s="93" t="s">
        <v>77</v>
      </c>
      <c r="I46" s="96">
        <f>IF(H46="ILF",IF($C$1="预估功能点",'模板使用说明&amp;基础参数'!$E$15,7),IF(H46="EIF",IF($C$1="预估功能点",'模板使用说明&amp;基础参数'!$E$16,5),IF(H46="EI",IF($C$1="预估功能点",'模板使用说明&amp;基础参数'!$E$17,'模板使用说明&amp;基础参数'!$E$24),IF(H46="EO",IF($C$1="预估功能点",'模板使用说明&amp;基础参数'!$E$18,'模板使用说明&amp;基础参数'!$E$25),IF(H46="EQ",IF($C$1="预估功能点",'模板使用说明&amp;基础参数'!$E$19,'模板使用说明&amp;基础参数'!$E$26),"")))))</f>
        <v>7</v>
      </c>
      <c r="J46" s="97" t="s">
        <v>38</v>
      </c>
      <c r="K46" s="97" t="s">
        <v>78</v>
      </c>
      <c r="L46" s="98">
        <f>IF(I46="","",IF(J46="高",IF(K46="删除",I46*'模板使用说明&amp;基础参数'!$E$5*'模板使用说明&amp;基础参数'!$E$12,IF(K46="修改",I46*'模板使用说明&amp;基础参数'!$E$5*'模板使用说明&amp;基础参数'!$E$11,I46*'模板使用说明&amp;基础参数'!$E$5*'模板使用说明&amp;基础参数'!$E$10)),IF(J46="中",IF(K46="删除",I46*'模板使用说明&amp;基础参数'!$E$6*'模板使用说明&amp;基础参数'!$E$12,IF(K46="修改",I46*'模板使用说明&amp;基础参数'!$E$6*'模板使用说明&amp;基础参数'!$E$11,I46*'模板使用说明&amp;基础参数'!$E$6*'模板使用说明&amp;基础参数'!$E$10)),IF(K46="删除",I46*'模板使用说明&amp;基础参数'!$E$7*'模板使用说明&amp;基础参数'!$E$12,IF(K46="修改",I46*'模板使用说明&amp;基础参数'!$E$7*'模板使用说明&amp;基础参数'!$E$11,I46*'模板使用说明&amp;基础参数'!$E$7*'模板使用说明&amp;基础参数'!$E$10)))))</f>
        <v>1.86666666666666</v>
      </c>
      <c r="M46" s="95"/>
      <c r="N46" s="99"/>
      <c r="O46" s="100"/>
    </row>
    <row r="47" s="70" customFormat="1" ht="25" customHeight="1" spans="1:15">
      <c r="A47" s="93">
        <v>42</v>
      </c>
      <c r="B47" s="94" t="s">
        <v>72</v>
      </c>
      <c r="C47" s="95" t="s">
        <v>129</v>
      </c>
      <c r="D47" s="95" t="s">
        <v>130</v>
      </c>
      <c r="E47" s="95" t="s">
        <v>130</v>
      </c>
      <c r="F47" s="95" t="s">
        <v>168</v>
      </c>
      <c r="G47" s="95" t="s">
        <v>169</v>
      </c>
      <c r="H47" s="93" t="s">
        <v>135</v>
      </c>
      <c r="I47" s="96">
        <f>IF(H47="ILF",IF($C$1="预估功能点",'模板使用说明&amp;基础参数'!$E$15,7),IF(H47="EIF",IF($C$1="预估功能点",'模板使用说明&amp;基础参数'!$E$16,5),IF(H47="EI",IF($C$1="预估功能点",'模板使用说明&amp;基础参数'!$E$17,'模板使用说明&amp;基础参数'!$E$24),IF(H47="EO",IF($C$1="预估功能点",'模板使用说明&amp;基础参数'!$E$18,'模板使用说明&amp;基础参数'!$E$25),IF(H47="EQ",IF($C$1="预估功能点",'模板使用说明&amp;基础参数'!$E$19,'模板使用说明&amp;基础参数'!$E$26),"")))))</f>
        <v>5</v>
      </c>
      <c r="J47" s="97" t="s">
        <v>38</v>
      </c>
      <c r="K47" s="97" t="s">
        <v>78</v>
      </c>
      <c r="L47" s="98">
        <f>IF(I47="","",IF(J47="高",IF(K47="删除",I47*'模板使用说明&amp;基础参数'!$E$5*'模板使用说明&amp;基础参数'!$E$12,IF(K47="修改",I47*'模板使用说明&amp;基础参数'!$E$5*'模板使用说明&amp;基础参数'!$E$11,I47*'模板使用说明&amp;基础参数'!$E$5*'模板使用说明&amp;基础参数'!$E$10)),IF(J47="中",IF(K47="删除",I47*'模板使用说明&amp;基础参数'!$E$6*'模板使用说明&amp;基础参数'!$E$12,IF(K47="修改",I47*'模板使用说明&amp;基础参数'!$E$6*'模板使用说明&amp;基础参数'!$E$11,I47*'模板使用说明&amp;基础参数'!$E$6*'模板使用说明&amp;基础参数'!$E$10)),IF(K47="删除",I47*'模板使用说明&amp;基础参数'!$E$7*'模板使用说明&amp;基础参数'!$E$12,IF(K47="修改",I47*'模板使用说明&amp;基础参数'!$E$7*'模板使用说明&amp;基础参数'!$E$11,I47*'模板使用说明&amp;基础参数'!$E$7*'模板使用说明&amp;基础参数'!$E$10)))))</f>
        <v>1.33333333333333</v>
      </c>
      <c r="M47" s="95"/>
      <c r="N47" s="99"/>
      <c r="O47" s="100"/>
    </row>
    <row r="48" s="70" customFormat="1" ht="25" customHeight="1" spans="1:15">
      <c r="A48" s="93">
        <v>43</v>
      </c>
      <c r="B48" s="94" t="s">
        <v>72</v>
      </c>
      <c r="C48" s="95" t="s">
        <v>129</v>
      </c>
      <c r="D48" s="95" t="s">
        <v>130</v>
      </c>
      <c r="E48" s="95" t="s">
        <v>130</v>
      </c>
      <c r="F48" s="95" t="s">
        <v>170</v>
      </c>
      <c r="G48" s="95" t="s">
        <v>171</v>
      </c>
      <c r="H48" s="93" t="s">
        <v>81</v>
      </c>
      <c r="I48" s="96">
        <f>IF(H48="ILF",IF($C$1="预估功能点",'模板使用说明&amp;基础参数'!$E$15,7),IF(H48="EIF",IF($C$1="预估功能点",'模板使用说明&amp;基础参数'!$E$16,5),IF(H48="EI",IF($C$1="预估功能点",'模板使用说明&amp;基础参数'!$E$17,'模板使用说明&amp;基础参数'!$E$24),IF(H48="EO",IF($C$1="预估功能点",'模板使用说明&amp;基础参数'!$E$18,'模板使用说明&amp;基础参数'!$E$25),IF(H48="EQ",IF($C$1="预估功能点",'模板使用说明&amp;基础参数'!$E$19,'模板使用说明&amp;基础参数'!$E$26),"")))))</f>
        <v>4</v>
      </c>
      <c r="J48" s="97" t="s">
        <v>38</v>
      </c>
      <c r="K48" s="97" t="s">
        <v>78</v>
      </c>
      <c r="L48" s="98">
        <f>IF(I48="","",IF(J48="高",IF(K48="删除",I48*'模板使用说明&amp;基础参数'!$E$5*'模板使用说明&amp;基础参数'!$E$12,IF(K48="修改",I48*'模板使用说明&amp;基础参数'!$E$5*'模板使用说明&amp;基础参数'!$E$11,I48*'模板使用说明&amp;基础参数'!$E$5*'模板使用说明&amp;基础参数'!$E$10)),IF(J48="中",IF(K48="删除",I48*'模板使用说明&amp;基础参数'!$E$6*'模板使用说明&amp;基础参数'!$E$12,IF(K48="修改",I48*'模板使用说明&amp;基础参数'!$E$6*'模板使用说明&amp;基础参数'!$E$11,I48*'模板使用说明&amp;基础参数'!$E$6*'模板使用说明&amp;基础参数'!$E$10)),IF(K48="删除",I48*'模板使用说明&amp;基础参数'!$E$7*'模板使用说明&amp;基础参数'!$E$12,IF(K48="修改",I48*'模板使用说明&amp;基础参数'!$E$7*'模板使用说明&amp;基础参数'!$E$11,I48*'模板使用说明&amp;基础参数'!$E$7*'模板使用说明&amp;基础参数'!$E$10)))))</f>
        <v>1.06666666666667</v>
      </c>
      <c r="M48" s="95"/>
      <c r="N48" s="99"/>
      <c r="O48" s="100"/>
    </row>
    <row r="49" s="70" customFormat="1" ht="25" customHeight="1" spans="1:15">
      <c r="A49" s="93">
        <v>44</v>
      </c>
      <c r="B49" s="94" t="s">
        <v>72</v>
      </c>
      <c r="C49" s="95" t="s">
        <v>129</v>
      </c>
      <c r="D49" s="95" t="s">
        <v>130</v>
      </c>
      <c r="E49" s="95" t="s">
        <v>130</v>
      </c>
      <c r="F49" s="95" t="s">
        <v>172</v>
      </c>
      <c r="G49" s="95" t="s">
        <v>173</v>
      </c>
      <c r="H49" s="93" t="s">
        <v>84</v>
      </c>
      <c r="I49" s="96">
        <f>IF(H49="ILF",IF($C$1="预估功能点",'模板使用说明&amp;基础参数'!$E$15,7),IF(H49="EIF",IF($C$1="预估功能点",'模板使用说明&amp;基础参数'!$E$16,5),IF(H49="EI",IF($C$1="预估功能点",'模板使用说明&amp;基础参数'!$E$17,'模板使用说明&amp;基础参数'!$E$24),IF(H49="EO",IF($C$1="预估功能点",'模板使用说明&amp;基础参数'!$E$18,'模板使用说明&amp;基础参数'!$E$25),IF(H49="EQ",IF($C$1="预估功能点",'模板使用说明&amp;基础参数'!$E$19,'模板使用说明&amp;基础参数'!$E$26),"")))))</f>
        <v>4</v>
      </c>
      <c r="J49" s="97" t="s">
        <v>38</v>
      </c>
      <c r="K49" s="97" t="s">
        <v>78</v>
      </c>
      <c r="L49" s="98">
        <f>IF(I49="","",IF(J49="高",IF(K49="删除",I49*'模板使用说明&amp;基础参数'!$E$5*'模板使用说明&amp;基础参数'!$E$12,IF(K49="修改",I49*'模板使用说明&amp;基础参数'!$E$5*'模板使用说明&amp;基础参数'!$E$11,I49*'模板使用说明&amp;基础参数'!$E$5*'模板使用说明&amp;基础参数'!$E$10)),IF(J49="中",IF(K49="删除",I49*'模板使用说明&amp;基础参数'!$E$6*'模板使用说明&amp;基础参数'!$E$12,IF(K49="修改",I49*'模板使用说明&amp;基础参数'!$E$6*'模板使用说明&amp;基础参数'!$E$11,I49*'模板使用说明&amp;基础参数'!$E$6*'模板使用说明&amp;基础参数'!$E$10)),IF(K49="删除",I49*'模板使用说明&amp;基础参数'!$E$7*'模板使用说明&amp;基础参数'!$E$12,IF(K49="修改",I49*'模板使用说明&amp;基础参数'!$E$7*'模板使用说明&amp;基础参数'!$E$11,I49*'模板使用说明&amp;基础参数'!$E$7*'模板使用说明&amp;基础参数'!$E$10)))))</f>
        <v>1.06666666666667</v>
      </c>
      <c r="M49" s="95"/>
      <c r="N49" s="99"/>
      <c r="O49" s="100"/>
    </row>
    <row r="50" s="70" customFormat="1" ht="25" customHeight="1" spans="1:15">
      <c r="A50" s="93">
        <v>45</v>
      </c>
      <c r="B50" s="94" t="s">
        <v>72</v>
      </c>
      <c r="C50" s="95" t="s">
        <v>129</v>
      </c>
      <c r="D50" s="95" t="s">
        <v>130</v>
      </c>
      <c r="E50" s="95" t="s">
        <v>130</v>
      </c>
      <c r="F50" s="95" t="s">
        <v>174</v>
      </c>
      <c r="G50" s="95" t="s">
        <v>175</v>
      </c>
      <c r="H50" s="93" t="s">
        <v>84</v>
      </c>
      <c r="I50" s="96">
        <f>IF(H50="ILF",IF($C$1="预估功能点",'模板使用说明&amp;基础参数'!$E$15,7),IF(H50="EIF",IF($C$1="预估功能点",'模板使用说明&amp;基础参数'!$E$16,5),IF(H50="EI",IF($C$1="预估功能点",'模板使用说明&amp;基础参数'!$E$17,'模板使用说明&amp;基础参数'!$E$24),IF(H50="EO",IF($C$1="预估功能点",'模板使用说明&amp;基础参数'!$E$18,'模板使用说明&amp;基础参数'!$E$25),IF(H50="EQ",IF($C$1="预估功能点",'模板使用说明&amp;基础参数'!$E$19,'模板使用说明&amp;基础参数'!$E$26),"")))))</f>
        <v>4</v>
      </c>
      <c r="J50" s="97" t="s">
        <v>38</v>
      </c>
      <c r="K50" s="97" t="s">
        <v>78</v>
      </c>
      <c r="L50" s="98">
        <f>IF(I50="","",IF(J50="高",IF(K50="删除",I50*'模板使用说明&amp;基础参数'!$E$5*'模板使用说明&amp;基础参数'!$E$12,IF(K50="修改",I50*'模板使用说明&amp;基础参数'!$E$5*'模板使用说明&amp;基础参数'!$E$11,I50*'模板使用说明&amp;基础参数'!$E$5*'模板使用说明&amp;基础参数'!$E$10)),IF(J50="中",IF(K50="删除",I50*'模板使用说明&amp;基础参数'!$E$6*'模板使用说明&amp;基础参数'!$E$12,IF(K50="修改",I50*'模板使用说明&amp;基础参数'!$E$6*'模板使用说明&amp;基础参数'!$E$11,I50*'模板使用说明&amp;基础参数'!$E$6*'模板使用说明&amp;基础参数'!$E$10)),IF(K50="删除",I50*'模板使用说明&amp;基础参数'!$E$7*'模板使用说明&amp;基础参数'!$E$12,IF(K50="修改",I50*'模板使用说明&amp;基础参数'!$E$7*'模板使用说明&amp;基础参数'!$E$11,I50*'模板使用说明&amp;基础参数'!$E$7*'模板使用说明&amp;基础参数'!$E$10)))))</f>
        <v>1.06666666666667</v>
      </c>
      <c r="M50" s="95"/>
      <c r="N50" s="99"/>
      <c r="O50" s="100"/>
    </row>
    <row r="51" s="70" customFormat="1" ht="25" customHeight="1" spans="1:15">
      <c r="A51" s="93">
        <v>46</v>
      </c>
      <c r="B51" s="94" t="s">
        <v>72</v>
      </c>
      <c r="C51" s="95" t="s">
        <v>129</v>
      </c>
      <c r="D51" s="95" t="s">
        <v>130</v>
      </c>
      <c r="E51" s="95" t="s">
        <v>130</v>
      </c>
      <c r="F51" s="95" t="s">
        <v>176</v>
      </c>
      <c r="G51" s="95" t="s">
        <v>177</v>
      </c>
      <c r="H51" s="93" t="s">
        <v>84</v>
      </c>
      <c r="I51" s="96">
        <f>IF(H51="ILF",IF($C$1="预估功能点",'模板使用说明&amp;基础参数'!$E$15,7),IF(H51="EIF",IF($C$1="预估功能点",'模板使用说明&amp;基础参数'!$E$16,5),IF(H51="EI",IF($C$1="预估功能点",'模板使用说明&amp;基础参数'!$E$17,'模板使用说明&amp;基础参数'!$E$24),IF(H51="EO",IF($C$1="预估功能点",'模板使用说明&amp;基础参数'!$E$18,'模板使用说明&amp;基础参数'!$E$25),IF(H51="EQ",IF($C$1="预估功能点",'模板使用说明&amp;基础参数'!$E$19,'模板使用说明&amp;基础参数'!$E$26),"")))))</f>
        <v>4</v>
      </c>
      <c r="J51" s="97" t="s">
        <v>38</v>
      </c>
      <c r="K51" s="97" t="s">
        <v>78</v>
      </c>
      <c r="L51" s="98">
        <f>IF(I51="","",IF(J51="高",IF(K51="删除",I51*'模板使用说明&amp;基础参数'!$E$5*'模板使用说明&amp;基础参数'!$E$12,IF(K51="修改",I51*'模板使用说明&amp;基础参数'!$E$5*'模板使用说明&amp;基础参数'!$E$11,I51*'模板使用说明&amp;基础参数'!$E$5*'模板使用说明&amp;基础参数'!$E$10)),IF(J51="中",IF(K51="删除",I51*'模板使用说明&amp;基础参数'!$E$6*'模板使用说明&amp;基础参数'!$E$12,IF(K51="修改",I51*'模板使用说明&amp;基础参数'!$E$6*'模板使用说明&amp;基础参数'!$E$11,I51*'模板使用说明&amp;基础参数'!$E$6*'模板使用说明&amp;基础参数'!$E$10)),IF(K51="删除",I51*'模板使用说明&amp;基础参数'!$E$7*'模板使用说明&amp;基础参数'!$E$12,IF(K51="修改",I51*'模板使用说明&amp;基础参数'!$E$7*'模板使用说明&amp;基础参数'!$E$11,I51*'模板使用说明&amp;基础参数'!$E$7*'模板使用说明&amp;基础参数'!$E$10)))))</f>
        <v>1.06666666666667</v>
      </c>
      <c r="M51" s="95"/>
      <c r="N51" s="99"/>
      <c r="O51" s="100"/>
    </row>
    <row r="52" s="70" customFormat="1" ht="25" customHeight="1" spans="1:15">
      <c r="A52" s="93">
        <v>47</v>
      </c>
      <c r="B52" s="94" t="s">
        <v>72</v>
      </c>
      <c r="C52" s="95" t="s">
        <v>144</v>
      </c>
      <c r="D52" s="95" t="s">
        <v>145</v>
      </c>
      <c r="E52" s="95" t="s">
        <v>145</v>
      </c>
      <c r="F52" s="95" t="s">
        <v>178</v>
      </c>
      <c r="G52" s="95" t="s">
        <v>179</v>
      </c>
      <c r="H52" s="93" t="s">
        <v>77</v>
      </c>
      <c r="I52" s="96">
        <f>IF(H52="ILF",IF($C$1="预估功能点",'模板使用说明&amp;基础参数'!$E$15,7),IF(H52="EIF",IF($C$1="预估功能点",'模板使用说明&amp;基础参数'!$E$16,5),IF(H52="EI",IF($C$1="预估功能点",'模板使用说明&amp;基础参数'!$E$17,'模板使用说明&amp;基础参数'!$E$24),IF(H52="EO",IF($C$1="预估功能点",'模板使用说明&amp;基础参数'!$E$18,'模板使用说明&amp;基础参数'!$E$25),IF(H52="EQ",IF($C$1="预估功能点",'模板使用说明&amp;基础参数'!$E$19,'模板使用说明&amp;基础参数'!$E$26),"")))))</f>
        <v>7</v>
      </c>
      <c r="J52" s="97" t="s">
        <v>38</v>
      </c>
      <c r="K52" s="97" t="s">
        <v>78</v>
      </c>
      <c r="L52" s="98">
        <f>IF(I52="","",IF(J52="高",IF(K52="删除",I52*'模板使用说明&amp;基础参数'!$E$5*'模板使用说明&amp;基础参数'!$E$12,IF(K52="修改",I52*'模板使用说明&amp;基础参数'!$E$5*'模板使用说明&amp;基础参数'!$E$11,I52*'模板使用说明&amp;基础参数'!$E$5*'模板使用说明&amp;基础参数'!$E$10)),IF(J52="中",IF(K52="删除",I52*'模板使用说明&amp;基础参数'!$E$6*'模板使用说明&amp;基础参数'!$E$12,IF(K52="修改",I52*'模板使用说明&amp;基础参数'!$E$6*'模板使用说明&amp;基础参数'!$E$11,I52*'模板使用说明&amp;基础参数'!$E$6*'模板使用说明&amp;基础参数'!$E$10)),IF(K52="删除",I52*'模板使用说明&amp;基础参数'!$E$7*'模板使用说明&amp;基础参数'!$E$12,IF(K52="修改",I52*'模板使用说明&amp;基础参数'!$E$7*'模板使用说明&amp;基础参数'!$E$11,I52*'模板使用说明&amp;基础参数'!$E$7*'模板使用说明&amp;基础参数'!$E$10)))))</f>
        <v>1.86666666666666</v>
      </c>
      <c r="M52" s="95"/>
      <c r="N52" s="99"/>
      <c r="O52" s="100"/>
    </row>
    <row r="53" s="70" customFormat="1" ht="25" customHeight="1" spans="1:15">
      <c r="A53" s="93">
        <v>48</v>
      </c>
      <c r="B53" s="94" t="s">
        <v>72</v>
      </c>
      <c r="C53" s="95" t="s">
        <v>144</v>
      </c>
      <c r="D53" s="95" t="s">
        <v>145</v>
      </c>
      <c r="E53" s="95" t="s">
        <v>145</v>
      </c>
      <c r="F53" s="95" t="s">
        <v>180</v>
      </c>
      <c r="G53" s="95" t="s">
        <v>181</v>
      </c>
      <c r="H53" s="93" t="s">
        <v>81</v>
      </c>
      <c r="I53" s="96">
        <f>IF(H53="ILF",IF($C$1="预估功能点",'模板使用说明&amp;基础参数'!$E$15,7),IF(H53="EIF",IF($C$1="预估功能点",'模板使用说明&amp;基础参数'!$E$16,5),IF(H53="EI",IF($C$1="预估功能点",'模板使用说明&amp;基础参数'!$E$17,'模板使用说明&amp;基础参数'!$E$24),IF(H53="EO",IF($C$1="预估功能点",'模板使用说明&amp;基础参数'!$E$18,'模板使用说明&amp;基础参数'!$E$25),IF(H53="EQ",IF($C$1="预估功能点",'模板使用说明&amp;基础参数'!$E$19,'模板使用说明&amp;基础参数'!$E$26),"")))))</f>
        <v>4</v>
      </c>
      <c r="J53" s="97" t="s">
        <v>38</v>
      </c>
      <c r="K53" s="97" t="s">
        <v>78</v>
      </c>
      <c r="L53" s="98">
        <f>IF(I53="","",IF(J53="高",IF(K53="删除",I53*'模板使用说明&amp;基础参数'!$E$5*'模板使用说明&amp;基础参数'!$E$12,IF(K53="修改",I53*'模板使用说明&amp;基础参数'!$E$5*'模板使用说明&amp;基础参数'!$E$11,I53*'模板使用说明&amp;基础参数'!$E$5*'模板使用说明&amp;基础参数'!$E$10)),IF(J53="中",IF(K53="删除",I53*'模板使用说明&amp;基础参数'!$E$6*'模板使用说明&amp;基础参数'!$E$12,IF(K53="修改",I53*'模板使用说明&amp;基础参数'!$E$6*'模板使用说明&amp;基础参数'!$E$11,I53*'模板使用说明&amp;基础参数'!$E$6*'模板使用说明&amp;基础参数'!$E$10)),IF(K53="删除",I53*'模板使用说明&amp;基础参数'!$E$7*'模板使用说明&amp;基础参数'!$E$12,IF(K53="修改",I53*'模板使用说明&amp;基础参数'!$E$7*'模板使用说明&amp;基础参数'!$E$11,I53*'模板使用说明&amp;基础参数'!$E$7*'模板使用说明&amp;基础参数'!$E$10)))))</f>
        <v>1.06666666666667</v>
      </c>
      <c r="M53" s="95"/>
      <c r="N53" s="99"/>
      <c r="O53" s="100"/>
    </row>
    <row r="54" s="70" customFormat="1" ht="25" customHeight="1" spans="1:15">
      <c r="A54" s="93">
        <v>49</v>
      </c>
      <c r="B54" s="94" t="s">
        <v>72</v>
      </c>
      <c r="C54" s="95" t="s">
        <v>144</v>
      </c>
      <c r="D54" s="95" t="s">
        <v>145</v>
      </c>
      <c r="E54" s="95" t="s">
        <v>145</v>
      </c>
      <c r="F54" s="95" t="s">
        <v>182</v>
      </c>
      <c r="G54" s="95" t="s">
        <v>183</v>
      </c>
      <c r="H54" s="93" t="s">
        <v>84</v>
      </c>
      <c r="I54" s="96">
        <f>IF(H54="ILF",IF($C$1="预估功能点",'模板使用说明&amp;基础参数'!$E$15,7),IF(H54="EIF",IF($C$1="预估功能点",'模板使用说明&amp;基础参数'!$E$16,5),IF(H54="EI",IF($C$1="预估功能点",'模板使用说明&amp;基础参数'!$E$17,'模板使用说明&amp;基础参数'!$E$24),IF(H54="EO",IF($C$1="预估功能点",'模板使用说明&amp;基础参数'!$E$18,'模板使用说明&amp;基础参数'!$E$25),IF(H54="EQ",IF($C$1="预估功能点",'模板使用说明&amp;基础参数'!$E$19,'模板使用说明&amp;基础参数'!$E$26),"")))))</f>
        <v>4</v>
      </c>
      <c r="J54" s="97" t="s">
        <v>38</v>
      </c>
      <c r="K54" s="97" t="s">
        <v>78</v>
      </c>
      <c r="L54" s="98">
        <f>IF(I54="","",IF(J54="高",IF(K54="删除",I54*'模板使用说明&amp;基础参数'!$E$5*'模板使用说明&amp;基础参数'!$E$12,IF(K54="修改",I54*'模板使用说明&amp;基础参数'!$E$5*'模板使用说明&amp;基础参数'!$E$11,I54*'模板使用说明&amp;基础参数'!$E$5*'模板使用说明&amp;基础参数'!$E$10)),IF(J54="中",IF(K54="删除",I54*'模板使用说明&amp;基础参数'!$E$6*'模板使用说明&amp;基础参数'!$E$12,IF(K54="修改",I54*'模板使用说明&amp;基础参数'!$E$6*'模板使用说明&amp;基础参数'!$E$11,I54*'模板使用说明&amp;基础参数'!$E$6*'模板使用说明&amp;基础参数'!$E$10)),IF(K54="删除",I54*'模板使用说明&amp;基础参数'!$E$7*'模板使用说明&amp;基础参数'!$E$12,IF(K54="修改",I54*'模板使用说明&amp;基础参数'!$E$7*'模板使用说明&amp;基础参数'!$E$11,I54*'模板使用说明&amp;基础参数'!$E$7*'模板使用说明&amp;基础参数'!$E$10)))))</f>
        <v>1.06666666666667</v>
      </c>
      <c r="M54" s="95"/>
      <c r="N54" s="99"/>
      <c r="O54" s="100"/>
    </row>
    <row r="55" s="70" customFormat="1" ht="25" customHeight="1" spans="1:15">
      <c r="A55" s="93">
        <v>50</v>
      </c>
      <c r="B55" s="94" t="s">
        <v>72</v>
      </c>
      <c r="C55" s="95" t="s">
        <v>144</v>
      </c>
      <c r="D55" s="95" t="s">
        <v>145</v>
      </c>
      <c r="E55" s="95" t="s">
        <v>145</v>
      </c>
      <c r="F55" s="95" t="s">
        <v>184</v>
      </c>
      <c r="G55" s="95" t="s">
        <v>185</v>
      </c>
      <c r="H55" s="93" t="s">
        <v>84</v>
      </c>
      <c r="I55" s="96">
        <f>IF(H55="ILF",IF($C$1="预估功能点",'模板使用说明&amp;基础参数'!$E$15,7),IF(H55="EIF",IF($C$1="预估功能点",'模板使用说明&amp;基础参数'!$E$16,5),IF(H55="EI",IF($C$1="预估功能点",'模板使用说明&amp;基础参数'!$E$17,'模板使用说明&amp;基础参数'!$E$24),IF(H55="EO",IF($C$1="预估功能点",'模板使用说明&amp;基础参数'!$E$18,'模板使用说明&amp;基础参数'!$E$25),IF(H55="EQ",IF($C$1="预估功能点",'模板使用说明&amp;基础参数'!$E$19,'模板使用说明&amp;基础参数'!$E$26),"")))))</f>
        <v>4</v>
      </c>
      <c r="J55" s="97" t="s">
        <v>38</v>
      </c>
      <c r="K55" s="97" t="s">
        <v>78</v>
      </c>
      <c r="L55" s="98">
        <f>IF(I55="","",IF(J55="高",IF(K55="删除",I55*'模板使用说明&amp;基础参数'!$E$5*'模板使用说明&amp;基础参数'!$E$12,IF(K55="修改",I55*'模板使用说明&amp;基础参数'!$E$5*'模板使用说明&amp;基础参数'!$E$11,I55*'模板使用说明&amp;基础参数'!$E$5*'模板使用说明&amp;基础参数'!$E$10)),IF(J55="中",IF(K55="删除",I55*'模板使用说明&amp;基础参数'!$E$6*'模板使用说明&amp;基础参数'!$E$12,IF(K55="修改",I55*'模板使用说明&amp;基础参数'!$E$6*'模板使用说明&amp;基础参数'!$E$11,I55*'模板使用说明&amp;基础参数'!$E$6*'模板使用说明&amp;基础参数'!$E$10)),IF(K55="删除",I55*'模板使用说明&amp;基础参数'!$E$7*'模板使用说明&amp;基础参数'!$E$12,IF(K55="修改",I55*'模板使用说明&amp;基础参数'!$E$7*'模板使用说明&amp;基础参数'!$E$11,I55*'模板使用说明&amp;基础参数'!$E$7*'模板使用说明&amp;基础参数'!$E$10)))))</f>
        <v>1.06666666666667</v>
      </c>
      <c r="M55" s="95"/>
      <c r="N55" s="99"/>
      <c r="O55" s="100"/>
    </row>
    <row r="56" s="70" customFormat="1" ht="25" customHeight="1" spans="1:15">
      <c r="A56" s="93">
        <v>51</v>
      </c>
      <c r="B56" s="94" t="s">
        <v>72</v>
      </c>
      <c r="C56" s="95" t="s">
        <v>154</v>
      </c>
      <c r="D56" s="95" t="s">
        <v>155</v>
      </c>
      <c r="E56" s="95" t="s">
        <v>155</v>
      </c>
      <c r="F56" s="95" t="s">
        <v>186</v>
      </c>
      <c r="G56" s="95" t="s">
        <v>187</v>
      </c>
      <c r="H56" s="93" t="s">
        <v>77</v>
      </c>
      <c r="I56" s="96">
        <f>IF(H56="ILF",IF($C$1="预估功能点",'模板使用说明&amp;基础参数'!$E$15,7),IF(H56="EIF",IF($C$1="预估功能点",'模板使用说明&amp;基础参数'!$E$16,5),IF(H56="EI",IF($C$1="预估功能点",'模板使用说明&amp;基础参数'!$E$17,'模板使用说明&amp;基础参数'!$E$24),IF(H56="EO",IF($C$1="预估功能点",'模板使用说明&amp;基础参数'!$E$18,'模板使用说明&amp;基础参数'!$E$25),IF(H56="EQ",IF($C$1="预估功能点",'模板使用说明&amp;基础参数'!$E$19,'模板使用说明&amp;基础参数'!$E$26),"")))))</f>
        <v>7</v>
      </c>
      <c r="J56" s="97" t="s">
        <v>38</v>
      </c>
      <c r="K56" s="97" t="s">
        <v>78</v>
      </c>
      <c r="L56" s="98">
        <f>IF(I56="","",IF(J56="高",IF(K56="删除",I56*'模板使用说明&amp;基础参数'!$E$5*'模板使用说明&amp;基础参数'!$E$12,IF(K56="修改",I56*'模板使用说明&amp;基础参数'!$E$5*'模板使用说明&amp;基础参数'!$E$11,I56*'模板使用说明&amp;基础参数'!$E$5*'模板使用说明&amp;基础参数'!$E$10)),IF(J56="中",IF(K56="删除",I56*'模板使用说明&amp;基础参数'!$E$6*'模板使用说明&amp;基础参数'!$E$12,IF(K56="修改",I56*'模板使用说明&amp;基础参数'!$E$6*'模板使用说明&amp;基础参数'!$E$11,I56*'模板使用说明&amp;基础参数'!$E$6*'模板使用说明&amp;基础参数'!$E$10)),IF(K56="删除",I56*'模板使用说明&amp;基础参数'!$E$7*'模板使用说明&amp;基础参数'!$E$12,IF(K56="修改",I56*'模板使用说明&amp;基础参数'!$E$7*'模板使用说明&amp;基础参数'!$E$11,I56*'模板使用说明&amp;基础参数'!$E$7*'模板使用说明&amp;基础参数'!$E$10)))))</f>
        <v>1.86666666666666</v>
      </c>
      <c r="M56" s="95"/>
      <c r="N56" s="99"/>
      <c r="O56" s="100"/>
    </row>
    <row r="57" s="70" customFormat="1" ht="25" customHeight="1" spans="1:15">
      <c r="A57" s="93">
        <v>52</v>
      </c>
      <c r="B57" s="94" t="s">
        <v>72</v>
      </c>
      <c r="C57" s="95" t="s">
        <v>154</v>
      </c>
      <c r="D57" s="95" t="s">
        <v>155</v>
      </c>
      <c r="E57" s="95" t="s">
        <v>155</v>
      </c>
      <c r="F57" s="95" t="s">
        <v>188</v>
      </c>
      <c r="G57" s="95" t="s">
        <v>189</v>
      </c>
      <c r="H57" s="93" t="s">
        <v>81</v>
      </c>
      <c r="I57" s="96">
        <f>IF(H57="ILF",IF($C$1="预估功能点",'模板使用说明&amp;基础参数'!$E$15,7),IF(H57="EIF",IF($C$1="预估功能点",'模板使用说明&amp;基础参数'!$E$16,5),IF(H57="EI",IF($C$1="预估功能点",'模板使用说明&amp;基础参数'!$E$17,'模板使用说明&amp;基础参数'!$E$24),IF(H57="EO",IF($C$1="预估功能点",'模板使用说明&amp;基础参数'!$E$18,'模板使用说明&amp;基础参数'!$E$25),IF(H57="EQ",IF($C$1="预估功能点",'模板使用说明&amp;基础参数'!$E$19,'模板使用说明&amp;基础参数'!$E$26),"")))))</f>
        <v>4</v>
      </c>
      <c r="J57" s="97" t="s">
        <v>38</v>
      </c>
      <c r="K57" s="97" t="s">
        <v>78</v>
      </c>
      <c r="L57" s="98">
        <f>IF(I57="","",IF(J57="高",IF(K57="删除",I57*'模板使用说明&amp;基础参数'!$E$5*'模板使用说明&amp;基础参数'!$E$12,IF(K57="修改",I57*'模板使用说明&amp;基础参数'!$E$5*'模板使用说明&amp;基础参数'!$E$11,I57*'模板使用说明&amp;基础参数'!$E$5*'模板使用说明&amp;基础参数'!$E$10)),IF(J57="中",IF(K57="删除",I57*'模板使用说明&amp;基础参数'!$E$6*'模板使用说明&amp;基础参数'!$E$12,IF(K57="修改",I57*'模板使用说明&amp;基础参数'!$E$6*'模板使用说明&amp;基础参数'!$E$11,I57*'模板使用说明&amp;基础参数'!$E$6*'模板使用说明&amp;基础参数'!$E$10)),IF(K57="删除",I57*'模板使用说明&amp;基础参数'!$E$7*'模板使用说明&amp;基础参数'!$E$12,IF(K57="修改",I57*'模板使用说明&amp;基础参数'!$E$7*'模板使用说明&amp;基础参数'!$E$11,I57*'模板使用说明&amp;基础参数'!$E$7*'模板使用说明&amp;基础参数'!$E$10)))))</f>
        <v>1.06666666666667</v>
      </c>
      <c r="M57" s="95"/>
      <c r="N57" s="99"/>
      <c r="O57" s="100"/>
    </row>
    <row r="58" s="70" customFormat="1" ht="25" customHeight="1" spans="1:15">
      <c r="A58" s="93">
        <v>53</v>
      </c>
      <c r="B58" s="94" t="s">
        <v>72</v>
      </c>
      <c r="C58" s="95" t="s">
        <v>154</v>
      </c>
      <c r="D58" s="95" t="s">
        <v>155</v>
      </c>
      <c r="E58" s="95" t="s">
        <v>155</v>
      </c>
      <c r="F58" s="95" t="s">
        <v>190</v>
      </c>
      <c r="G58" s="95" t="s">
        <v>191</v>
      </c>
      <c r="H58" s="93" t="s">
        <v>84</v>
      </c>
      <c r="I58" s="96">
        <f>IF(H58="ILF",IF($C$1="预估功能点",'模板使用说明&amp;基础参数'!$E$15,7),IF(H58="EIF",IF($C$1="预估功能点",'模板使用说明&amp;基础参数'!$E$16,5),IF(H58="EI",IF($C$1="预估功能点",'模板使用说明&amp;基础参数'!$E$17,'模板使用说明&amp;基础参数'!$E$24),IF(H58="EO",IF($C$1="预估功能点",'模板使用说明&amp;基础参数'!$E$18,'模板使用说明&amp;基础参数'!$E$25),IF(H58="EQ",IF($C$1="预估功能点",'模板使用说明&amp;基础参数'!$E$19,'模板使用说明&amp;基础参数'!$E$26),"")))))</f>
        <v>4</v>
      </c>
      <c r="J58" s="97" t="s">
        <v>38</v>
      </c>
      <c r="K58" s="97" t="s">
        <v>78</v>
      </c>
      <c r="L58" s="98">
        <f>IF(I58="","",IF(J58="高",IF(K58="删除",I58*'模板使用说明&amp;基础参数'!$E$5*'模板使用说明&amp;基础参数'!$E$12,IF(K58="修改",I58*'模板使用说明&amp;基础参数'!$E$5*'模板使用说明&amp;基础参数'!$E$11,I58*'模板使用说明&amp;基础参数'!$E$5*'模板使用说明&amp;基础参数'!$E$10)),IF(J58="中",IF(K58="删除",I58*'模板使用说明&amp;基础参数'!$E$6*'模板使用说明&amp;基础参数'!$E$12,IF(K58="修改",I58*'模板使用说明&amp;基础参数'!$E$6*'模板使用说明&amp;基础参数'!$E$11,I58*'模板使用说明&amp;基础参数'!$E$6*'模板使用说明&amp;基础参数'!$E$10)),IF(K58="删除",I58*'模板使用说明&amp;基础参数'!$E$7*'模板使用说明&amp;基础参数'!$E$12,IF(K58="修改",I58*'模板使用说明&amp;基础参数'!$E$7*'模板使用说明&amp;基础参数'!$E$11,I58*'模板使用说明&amp;基础参数'!$E$7*'模板使用说明&amp;基础参数'!$E$10)))))</f>
        <v>1.06666666666667</v>
      </c>
      <c r="M58" s="95"/>
      <c r="N58" s="99"/>
      <c r="O58" s="100"/>
    </row>
    <row r="59" s="70" customFormat="1" ht="25" customHeight="1" spans="1:15">
      <c r="A59" s="93">
        <v>54</v>
      </c>
      <c r="B59" s="94" t="s">
        <v>72</v>
      </c>
      <c r="C59" s="95" t="s">
        <v>154</v>
      </c>
      <c r="D59" s="95" t="s">
        <v>155</v>
      </c>
      <c r="E59" s="95" t="s">
        <v>155</v>
      </c>
      <c r="F59" s="95" t="s">
        <v>192</v>
      </c>
      <c r="G59" s="95" t="s">
        <v>193</v>
      </c>
      <c r="H59" s="93" t="s">
        <v>84</v>
      </c>
      <c r="I59" s="96">
        <f>IF(H59="ILF",IF($C$1="预估功能点",'模板使用说明&amp;基础参数'!$E$15,7),IF(H59="EIF",IF($C$1="预估功能点",'模板使用说明&amp;基础参数'!$E$16,5),IF(H59="EI",IF($C$1="预估功能点",'模板使用说明&amp;基础参数'!$E$17,'模板使用说明&amp;基础参数'!$E$24),IF(H59="EO",IF($C$1="预估功能点",'模板使用说明&amp;基础参数'!$E$18,'模板使用说明&amp;基础参数'!$E$25),IF(H59="EQ",IF($C$1="预估功能点",'模板使用说明&amp;基础参数'!$E$19,'模板使用说明&amp;基础参数'!$E$26),"")))))</f>
        <v>4</v>
      </c>
      <c r="J59" s="97" t="s">
        <v>38</v>
      </c>
      <c r="K59" s="97" t="s">
        <v>78</v>
      </c>
      <c r="L59" s="98">
        <f>IF(I59="","",IF(J59="高",IF(K59="删除",I59*'模板使用说明&amp;基础参数'!$E$5*'模板使用说明&amp;基础参数'!$E$12,IF(K59="修改",I59*'模板使用说明&amp;基础参数'!$E$5*'模板使用说明&amp;基础参数'!$E$11,I59*'模板使用说明&amp;基础参数'!$E$5*'模板使用说明&amp;基础参数'!$E$10)),IF(J59="中",IF(K59="删除",I59*'模板使用说明&amp;基础参数'!$E$6*'模板使用说明&amp;基础参数'!$E$12,IF(K59="修改",I59*'模板使用说明&amp;基础参数'!$E$6*'模板使用说明&amp;基础参数'!$E$11,I59*'模板使用说明&amp;基础参数'!$E$6*'模板使用说明&amp;基础参数'!$E$10)),IF(K59="删除",I59*'模板使用说明&amp;基础参数'!$E$7*'模板使用说明&amp;基础参数'!$E$12,IF(K59="修改",I59*'模板使用说明&amp;基础参数'!$E$7*'模板使用说明&amp;基础参数'!$E$11,I59*'模板使用说明&amp;基础参数'!$E$7*'模板使用说明&amp;基础参数'!$E$10)))))</f>
        <v>1.06666666666667</v>
      </c>
      <c r="M59" s="95"/>
      <c r="N59" s="99"/>
      <c r="O59" s="100"/>
    </row>
    <row r="60" s="70" customFormat="1" ht="25" customHeight="1" spans="1:15">
      <c r="A60" s="93">
        <v>55</v>
      </c>
      <c r="B60" s="94" t="s">
        <v>72</v>
      </c>
      <c r="C60" s="95" t="s">
        <v>154</v>
      </c>
      <c r="D60" s="95" t="s">
        <v>155</v>
      </c>
      <c r="E60" s="95" t="s">
        <v>155</v>
      </c>
      <c r="F60" s="95" t="s">
        <v>194</v>
      </c>
      <c r="G60" s="95" t="s">
        <v>195</v>
      </c>
      <c r="H60" s="93" t="s">
        <v>84</v>
      </c>
      <c r="I60" s="96">
        <f>IF(H60="ILF",IF($C$1="预估功能点",'模板使用说明&amp;基础参数'!$E$15,7),IF(H60="EIF",IF($C$1="预估功能点",'模板使用说明&amp;基础参数'!$E$16,5),IF(H60="EI",IF($C$1="预估功能点",'模板使用说明&amp;基础参数'!$E$17,'模板使用说明&amp;基础参数'!$E$24),IF(H60="EO",IF($C$1="预估功能点",'模板使用说明&amp;基础参数'!$E$18,'模板使用说明&amp;基础参数'!$E$25),IF(H60="EQ",IF($C$1="预估功能点",'模板使用说明&amp;基础参数'!$E$19,'模板使用说明&amp;基础参数'!$E$26),"")))))</f>
        <v>4</v>
      </c>
      <c r="J60" s="97" t="s">
        <v>38</v>
      </c>
      <c r="K60" s="97" t="s">
        <v>78</v>
      </c>
      <c r="L60" s="98">
        <f>IF(I60="","",IF(J60="高",IF(K60="删除",I60*'模板使用说明&amp;基础参数'!$E$5*'模板使用说明&amp;基础参数'!$E$12,IF(K60="修改",I60*'模板使用说明&amp;基础参数'!$E$5*'模板使用说明&amp;基础参数'!$E$11,I60*'模板使用说明&amp;基础参数'!$E$5*'模板使用说明&amp;基础参数'!$E$10)),IF(J60="中",IF(K60="删除",I60*'模板使用说明&amp;基础参数'!$E$6*'模板使用说明&amp;基础参数'!$E$12,IF(K60="修改",I60*'模板使用说明&amp;基础参数'!$E$6*'模板使用说明&amp;基础参数'!$E$11,I60*'模板使用说明&amp;基础参数'!$E$6*'模板使用说明&amp;基础参数'!$E$10)),IF(K60="删除",I60*'模板使用说明&amp;基础参数'!$E$7*'模板使用说明&amp;基础参数'!$E$12,IF(K60="修改",I60*'模板使用说明&amp;基础参数'!$E$7*'模板使用说明&amp;基础参数'!$E$11,I60*'模板使用说明&amp;基础参数'!$E$7*'模板使用说明&amp;基础参数'!$E$10)))))</f>
        <v>1.06666666666667</v>
      </c>
      <c r="M60" s="95"/>
      <c r="N60" s="99"/>
      <c r="O60" s="100"/>
    </row>
    <row r="61" s="70" customFormat="1" ht="25" customHeight="1" spans="1:15">
      <c r="A61" s="93">
        <v>56</v>
      </c>
      <c r="B61" s="94" t="s">
        <v>72</v>
      </c>
      <c r="C61" s="95" t="s">
        <v>73</v>
      </c>
      <c r="D61" s="95" t="s">
        <v>74</v>
      </c>
      <c r="E61" s="95" t="s">
        <v>74</v>
      </c>
      <c r="F61" s="95" t="s">
        <v>196</v>
      </c>
      <c r="G61" s="95" t="s">
        <v>197</v>
      </c>
      <c r="H61" s="93" t="s">
        <v>77</v>
      </c>
      <c r="I61" s="96">
        <f>IF(H61="ILF",IF($C$1="预估功能点",'模板使用说明&amp;基础参数'!$E$15,7),IF(H61="EIF",IF($C$1="预估功能点",'模板使用说明&amp;基础参数'!$E$16,5),IF(H61="EI",IF($C$1="预估功能点",'模板使用说明&amp;基础参数'!$E$17,'模板使用说明&amp;基础参数'!$E$24),IF(H61="EO",IF($C$1="预估功能点",'模板使用说明&amp;基础参数'!$E$18,'模板使用说明&amp;基础参数'!$E$25),IF(H61="EQ",IF($C$1="预估功能点",'模板使用说明&amp;基础参数'!$E$19,'模板使用说明&amp;基础参数'!$E$26),"")))))</f>
        <v>7</v>
      </c>
      <c r="J61" s="97" t="s">
        <v>38</v>
      </c>
      <c r="K61" s="97" t="s">
        <v>78</v>
      </c>
      <c r="L61" s="98">
        <f>IF(I61="","",IF(J61="高",IF(K61="删除",I61*'模板使用说明&amp;基础参数'!$E$5*'模板使用说明&amp;基础参数'!$E$12,IF(K61="修改",I61*'模板使用说明&amp;基础参数'!$E$5*'模板使用说明&amp;基础参数'!$E$11,I61*'模板使用说明&amp;基础参数'!$E$5*'模板使用说明&amp;基础参数'!$E$10)),IF(J61="中",IF(K61="删除",I61*'模板使用说明&amp;基础参数'!$E$6*'模板使用说明&amp;基础参数'!$E$12,IF(K61="修改",I61*'模板使用说明&amp;基础参数'!$E$6*'模板使用说明&amp;基础参数'!$E$11,I61*'模板使用说明&amp;基础参数'!$E$6*'模板使用说明&amp;基础参数'!$E$10)),IF(K61="删除",I61*'模板使用说明&amp;基础参数'!$E$7*'模板使用说明&amp;基础参数'!$E$12,IF(K61="修改",I61*'模板使用说明&amp;基础参数'!$E$7*'模板使用说明&amp;基础参数'!$E$11,I61*'模板使用说明&amp;基础参数'!$E$7*'模板使用说明&amp;基础参数'!$E$10)))))</f>
        <v>1.86666666666666</v>
      </c>
      <c r="M61" s="95"/>
      <c r="N61" s="99"/>
      <c r="O61" s="100"/>
    </row>
    <row r="62" s="70" customFormat="1" ht="25" customHeight="1" spans="1:15">
      <c r="A62" s="93">
        <v>57</v>
      </c>
      <c r="B62" s="94" t="s">
        <v>72</v>
      </c>
      <c r="C62" s="95" t="s">
        <v>73</v>
      </c>
      <c r="D62" s="95" t="s">
        <v>74</v>
      </c>
      <c r="E62" s="95" t="s">
        <v>74</v>
      </c>
      <c r="F62" s="95" t="s">
        <v>198</v>
      </c>
      <c r="G62" s="95" t="s">
        <v>199</v>
      </c>
      <c r="H62" s="93" t="s">
        <v>81</v>
      </c>
      <c r="I62" s="96">
        <f>IF(H62="ILF",IF($C$1="预估功能点",'模板使用说明&amp;基础参数'!$E$15,7),IF(H62="EIF",IF($C$1="预估功能点",'模板使用说明&amp;基础参数'!$E$16,5),IF(H62="EI",IF($C$1="预估功能点",'模板使用说明&amp;基础参数'!$E$17,'模板使用说明&amp;基础参数'!$E$24),IF(H62="EO",IF($C$1="预估功能点",'模板使用说明&amp;基础参数'!$E$18,'模板使用说明&amp;基础参数'!$E$25),IF(H62="EQ",IF($C$1="预估功能点",'模板使用说明&amp;基础参数'!$E$19,'模板使用说明&amp;基础参数'!$E$26),"")))))</f>
        <v>4</v>
      </c>
      <c r="J62" s="97" t="s">
        <v>38</v>
      </c>
      <c r="K62" s="97" t="s">
        <v>78</v>
      </c>
      <c r="L62" s="98">
        <f>IF(I62="","",IF(J62="高",IF(K62="删除",I62*'模板使用说明&amp;基础参数'!$E$5*'模板使用说明&amp;基础参数'!$E$12,IF(K62="修改",I62*'模板使用说明&amp;基础参数'!$E$5*'模板使用说明&amp;基础参数'!$E$11,I62*'模板使用说明&amp;基础参数'!$E$5*'模板使用说明&amp;基础参数'!$E$10)),IF(J62="中",IF(K62="删除",I62*'模板使用说明&amp;基础参数'!$E$6*'模板使用说明&amp;基础参数'!$E$12,IF(K62="修改",I62*'模板使用说明&amp;基础参数'!$E$6*'模板使用说明&amp;基础参数'!$E$11,I62*'模板使用说明&amp;基础参数'!$E$6*'模板使用说明&amp;基础参数'!$E$10)),IF(K62="删除",I62*'模板使用说明&amp;基础参数'!$E$7*'模板使用说明&amp;基础参数'!$E$12,IF(K62="修改",I62*'模板使用说明&amp;基础参数'!$E$7*'模板使用说明&amp;基础参数'!$E$11,I62*'模板使用说明&amp;基础参数'!$E$7*'模板使用说明&amp;基础参数'!$E$10)))))</f>
        <v>1.06666666666667</v>
      </c>
      <c r="M62" s="95"/>
      <c r="N62" s="99"/>
      <c r="O62" s="100"/>
    </row>
    <row r="63" s="70" customFormat="1" ht="25" customHeight="1" spans="1:15">
      <c r="A63" s="93">
        <v>58</v>
      </c>
      <c r="B63" s="94" t="s">
        <v>72</v>
      </c>
      <c r="C63" s="95" t="s">
        <v>73</v>
      </c>
      <c r="D63" s="95" t="s">
        <v>74</v>
      </c>
      <c r="E63" s="95" t="s">
        <v>74</v>
      </c>
      <c r="F63" s="95" t="s">
        <v>200</v>
      </c>
      <c r="G63" s="95" t="s">
        <v>201</v>
      </c>
      <c r="H63" s="93" t="s">
        <v>84</v>
      </c>
      <c r="I63" s="96">
        <f>IF(H63="ILF",IF($C$1="预估功能点",'模板使用说明&amp;基础参数'!$E$15,7),IF(H63="EIF",IF($C$1="预估功能点",'模板使用说明&amp;基础参数'!$E$16,5),IF(H63="EI",IF($C$1="预估功能点",'模板使用说明&amp;基础参数'!$E$17,'模板使用说明&amp;基础参数'!$E$24),IF(H63="EO",IF($C$1="预估功能点",'模板使用说明&amp;基础参数'!$E$18,'模板使用说明&amp;基础参数'!$E$25),IF(H63="EQ",IF($C$1="预估功能点",'模板使用说明&amp;基础参数'!$E$19,'模板使用说明&amp;基础参数'!$E$26),"")))))</f>
        <v>4</v>
      </c>
      <c r="J63" s="97" t="s">
        <v>38</v>
      </c>
      <c r="K63" s="97" t="s">
        <v>78</v>
      </c>
      <c r="L63" s="98">
        <f>IF(I63="","",IF(J63="高",IF(K63="删除",I63*'模板使用说明&amp;基础参数'!$E$5*'模板使用说明&amp;基础参数'!$E$12,IF(K63="修改",I63*'模板使用说明&amp;基础参数'!$E$5*'模板使用说明&amp;基础参数'!$E$11,I63*'模板使用说明&amp;基础参数'!$E$5*'模板使用说明&amp;基础参数'!$E$10)),IF(J63="中",IF(K63="删除",I63*'模板使用说明&amp;基础参数'!$E$6*'模板使用说明&amp;基础参数'!$E$12,IF(K63="修改",I63*'模板使用说明&amp;基础参数'!$E$6*'模板使用说明&amp;基础参数'!$E$11,I63*'模板使用说明&amp;基础参数'!$E$6*'模板使用说明&amp;基础参数'!$E$10)),IF(K63="删除",I63*'模板使用说明&amp;基础参数'!$E$7*'模板使用说明&amp;基础参数'!$E$12,IF(K63="修改",I63*'模板使用说明&amp;基础参数'!$E$7*'模板使用说明&amp;基础参数'!$E$11,I63*'模板使用说明&amp;基础参数'!$E$7*'模板使用说明&amp;基础参数'!$E$10)))))</f>
        <v>1.06666666666667</v>
      </c>
      <c r="M63" s="95"/>
      <c r="N63" s="99"/>
      <c r="O63" s="100"/>
    </row>
    <row r="64" s="70" customFormat="1" ht="25" customHeight="1" spans="1:15">
      <c r="A64" s="93">
        <v>59</v>
      </c>
      <c r="B64" s="94" t="s">
        <v>72</v>
      </c>
      <c r="C64" s="95" t="s">
        <v>73</v>
      </c>
      <c r="D64" s="95" t="s">
        <v>74</v>
      </c>
      <c r="E64" s="95" t="s">
        <v>74</v>
      </c>
      <c r="F64" s="95" t="s">
        <v>202</v>
      </c>
      <c r="G64" s="95" t="s">
        <v>203</v>
      </c>
      <c r="H64" s="93" t="s">
        <v>84</v>
      </c>
      <c r="I64" s="96">
        <f>IF(H64="ILF",IF($C$1="预估功能点",'模板使用说明&amp;基础参数'!$E$15,7),IF(H64="EIF",IF($C$1="预估功能点",'模板使用说明&amp;基础参数'!$E$16,5),IF(H64="EI",IF($C$1="预估功能点",'模板使用说明&amp;基础参数'!$E$17,'模板使用说明&amp;基础参数'!$E$24),IF(H64="EO",IF($C$1="预估功能点",'模板使用说明&amp;基础参数'!$E$18,'模板使用说明&amp;基础参数'!$E$25),IF(H64="EQ",IF($C$1="预估功能点",'模板使用说明&amp;基础参数'!$E$19,'模板使用说明&amp;基础参数'!$E$26),"")))))</f>
        <v>4</v>
      </c>
      <c r="J64" s="97" t="s">
        <v>38</v>
      </c>
      <c r="K64" s="97" t="s">
        <v>78</v>
      </c>
      <c r="L64" s="98">
        <f>IF(I64="","",IF(J64="高",IF(K64="删除",I64*'模板使用说明&amp;基础参数'!$E$5*'模板使用说明&amp;基础参数'!$E$12,IF(K64="修改",I64*'模板使用说明&amp;基础参数'!$E$5*'模板使用说明&amp;基础参数'!$E$11,I64*'模板使用说明&amp;基础参数'!$E$5*'模板使用说明&amp;基础参数'!$E$10)),IF(J64="中",IF(K64="删除",I64*'模板使用说明&amp;基础参数'!$E$6*'模板使用说明&amp;基础参数'!$E$12,IF(K64="修改",I64*'模板使用说明&amp;基础参数'!$E$6*'模板使用说明&amp;基础参数'!$E$11,I64*'模板使用说明&amp;基础参数'!$E$6*'模板使用说明&amp;基础参数'!$E$10)),IF(K64="删除",I64*'模板使用说明&amp;基础参数'!$E$7*'模板使用说明&amp;基础参数'!$E$12,IF(K64="修改",I64*'模板使用说明&amp;基础参数'!$E$7*'模板使用说明&amp;基础参数'!$E$11,I64*'模板使用说明&amp;基础参数'!$E$7*'模板使用说明&amp;基础参数'!$E$10)))))</f>
        <v>1.06666666666667</v>
      </c>
      <c r="M64" s="95"/>
      <c r="N64" s="99"/>
      <c r="O64" s="100"/>
    </row>
    <row r="65" s="70" customFormat="1" ht="25" customHeight="1" spans="1:15">
      <c r="A65" s="93">
        <v>60</v>
      </c>
      <c r="B65" s="94" t="s">
        <v>72</v>
      </c>
      <c r="C65" s="95" t="s">
        <v>73</v>
      </c>
      <c r="D65" s="95" t="s">
        <v>74</v>
      </c>
      <c r="E65" s="95" t="s">
        <v>74</v>
      </c>
      <c r="F65" s="95" t="s">
        <v>204</v>
      </c>
      <c r="G65" s="95" t="s">
        <v>205</v>
      </c>
      <c r="H65" s="93" t="s">
        <v>84</v>
      </c>
      <c r="I65" s="96">
        <f>IF(H65="ILF",IF($C$1="预估功能点",'模板使用说明&amp;基础参数'!$E$15,7),IF(H65="EIF",IF($C$1="预估功能点",'模板使用说明&amp;基础参数'!$E$16,5),IF(H65="EI",IF($C$1="预估功能点",'模板使用说明&amp;基础参数'!$E$17,'模板使用说明&amp;基础参数'!$E$24),IF(H65="EO",IF($C$1="预估功能点",'模板使用说明&amp;基础参数'!$E$18,'模板使用说明&amp;基础参数'!$E$25),IF(H65="EQ",IF($C$1="预估功能点",'模板使用说明&amp;基础参数'!$E$19,'模板使用说明&amp;基础参数'!$E$26),"")))))</f>
        <v>4</v>
      </c>
      <c r="J65" s="97" t="s">
        <v>38</v>
      </c>
      <c r="K65" s="97" t="s">
        <v>78</v>
      </c>
      <c r="L65" s="98">
        <f>IF(I65="","",IF(J65="高",IF(K65="删除",I65*'模板使用说明&amp;基础参数'!$E$5*'模板使用说明&amp;基础参数'!$E$12,IF(K65="修改",I65*'模板使用说明&amp;基础参数'!$E$5*'模板使用说明&amp;基础参数'!$E$11,I65*'模板使用说明&amp;基础参数'!$E$5*'模板使用说明&amp;基础参数'!$E$10)),IF(J65="中",IF(K65="删除",I65*'模板使用说明&amp;基础参数'!$E$6*'模板使用说明&amp;基础参数'!$E$12,IF(K65="修改",I65*'模板使用说明&amp;基础参数'!$E$6*'模板使用说明&amp;基础参数'!$E$11,I65*'模板使用说明&amp;基础参数'!$E$6*'模板使用说明&amp;基础参数'!$E$10)),IF(K65="删除",I65*'模板使用说明&amp;基础参数'!$E$7*'模板使用说明&amp;基础参数'!$E$12,IF(K65="修改",I65*'模板使用说明&amp;基础参数'!$E$7*'模板使用说明&amp;基础参数'!$E$11,I65*'模板使用说明&amp;基础参数'!$E$7*'模板使用说明&amp;基础参数'!$E$10)))))</f>
        <v>1.06666666666667</v>
      </c>
      <c r="M65" s="95"/>
      <c r="N65" s="99"/>
      <c r="O65" s="100"/>
    </row>
    <row r="66" s="70" customFormat="1" ht="25" customHeight="1" spans="1:15">
      <c r="A66" s="93">
        <v>61</v>
      </c>
      <c r="B66" s="94" t="s">
        <v>72</v>
      </c>
      <c r="C66" s="95" t="s">
        <v>73</v>
      </c>
      <c r="D66" s="95" t="s">
        <v>74</v>
      </c>
      <c r="E66" s="95" t="s">
        <v>74</v>
      </c>
      <c r="F66" s="95" t="s">
        <v>206</v>
      </c>
      <c r="G66" s="95" t="s">
        <v>207</v>
      </c>
      <c r="H66" s="93" t="s">
        <v>77</v>
      </c>
      <c r="I66" s="96">
        <f>IF(H66="ILF",IF($C$1="预估功能点",'模板使用说明&amp;基础参数'!$E$15,7),IF(H66="EIF",IF($C$1="预估功能点",'模板使用说明&amp;基础参数'!$E$16,5),IF(H66="EI",IF($C$1="预估功能点",'模板使用说明&amp;基础参数'!$E$17,'模板使用说明&amp;基础参数'!$E$24),IF(H66="EO",IF($C$1="预估功能点",'模板使用说明&amp;基础参数'!$E$18,'模板使用说明&amp;基础参数'!$E$25),IF(H66="EQ",IF($C$1="预估功能点",'模板使用说明&amp;基础参数'!$E$19,'模板使用说明&amp;基础参数'!$E$26),"")))))</f>
        <v>7</v>
      </c>
      <c r="J66" s="97" t="s">
        <v>38</v>
      </c>
      <c r="K66" s="97" t="s">
        <v>78</v>
      </c>
      <c r="L66" s="98">
        <f>IF(I66="","",IF(J66="高",IF(K66="删除",I66*'模板使用说明&amp;基础参数'!$E$5*'模板使用说明&amp;基础参数'!$E$12,IF(K66="修改",I66*'模板使用说明&amp;基础参数'!$E$5*'模板使用说明&amp;基础参数'!$E$11,I66*'模板使用说明&amp;基础参数'!$E$5*'模板使用说明&amp;基础参数'!$E$10)),IF(J66="中",IF(K66="删除",I66*'模板使用说明&amp;基础参数'!$E$6*'模板使用说明&amp;基础参数'!$E$12,IF(K66="修改",I66*'模板使用说明&amp;基础参数'!$E$6*'模板使用说明&amp;基础参数'!$E$11,I66*'模板使用说明&amp;基础参数'!$E$6*'模板使用说明&amp;基础参数'!$E$10)),IF(K66="删除",I66*'模板使用说明&amp;基础参数'!$E$7*'模板使用说明&amp;基础参数'!$E$12,IF(K66="修改",I66*'模板使用说明&amp;基础参数'!$E$7*'模板使用说明&amp;基础参数'!$E$11,I66*'模板使用说明&amp;基础参数'!$E$7*'模板使用说明&amp;基础参数'!$E$10)))))</f>
        <v>1.86666666666666</v>
      </c>
      <c r="M66" s="95"/>
      <c r="N66" s="99"/>
      <c r="O66" s="100"/>
    </row>
    <row r="67" s="70" customFormat="1" ht="25" customHeight="1" spans="1:15">
      <c r="A67" s="93">
        <v>62</v>
      </c>
      <c r="B67" s="94" t="s">
        <v>72</v>
      </c>
      <c r="C67" s="95" t="s">
        <v>73</v>
      </c>
      <c r="D67" s="95" t="s">
        <v>74</v>
      </c>
      <c r="E67" s="95" t="s">
        <v>74</v>
      </c>
      <c r="F67" s="95" t="s">
        <v>208</v>
      </c>
      <c r="G67" s="95" t="s">
        <v>209</v>
      </c>
      <c r="H67" s="93" t="s">
        <v>81</v>
      </c>
      <c r="I67" s="96">
        <f>IF(H67="ILF",IF($C$1="预估功能点",'模板使用说明&amp;基础参数'!$E$15,7),IF(H67="EIF",IF($C$1="预估功能点",'模板使用说明&amp;基础参数'!$E$16,5),IF(H67="EI",IF($C$1="预估功能点",'模板使用说明&amp;基础参数'!$E$17,'模板使用说明&amp;基础参数'!$E$24),IF(H67="EO",IF($C$1="预估功能点",'模板使用说明&amp;基础参数'!$E$18,'模板使用说明&amp;基础参数'!$E$25),IF(H67="EQ",IF($C$1="预估功能点",'模板使用说明&amp;基础参数'!$E$19,'模板使用说明&amp;基础参数'!$E$26),"")))))</f>
        <v>4</v>
      </c>
      <c r="J67" s="97" t="s">
        <v>38</v>
      </c>
      <c r="K67" s="97" t="s">
        <v>78</v>
      </c>
      <c r="L67" s="98">
        <f>IF(I67="","",IF(J67="高",IF(K67="删除",I67*'模板使用说明&amp;基础参数'!$E$5*'模板使用说明&amp;基础参数'!$E$12,IF(K67="修改",I67*'模板使用说明&amp;基础参数'!$E$5*'模板使用说明&amp;基础参数'!$E$11,I67*'模板使用说明&amp;基础参数'!$E$5*'模板使用说明&amp;基础参数'!$E$10)),IF(J67="中",IF(K67="删除",I67*'模板使用说明&amp;基础参数'!$E$6*'模板使用说明&amp;基础参数'!$E$12,IF(K67="修改",I67*'模板使用说明&amp;基础参数'!$E$6*'模板使用说明&amp;基础参数'!$E$11,I67*'模板使用说明&amp;基础参数'!$E$6*'模板使用说明&amp;基础参数'!$E$10)),IF(K67="删除",I67*'模板使用说明&amp;基础参数'!$E$7*'模板使用说明&amp;基础参数'!$E$12,IF(K67="修改",I67*'模板使用说明&amp;基础参数'!$E$7*'模板使用说明&amp;基础参数'!$E$11,I67*'模板使用说明&amp;基础参数'!$E$7*'模板使用说明&amp;基础参数'!$E$10)))))</f>
        <v>1.06666666666667</v>
      </c>
      <c r="M67" s="95"/>
      <c r="N67" s="99"/>
      <c r="O67" s="100"/>
    </row>
    <row r="68" s="70" customFormat="1" ht="25" customHeight="1" spans="1:15">
      <c r="A68" s="93">
        <v>63</v>
      </c>
      <c r="B68" s="94" t="s">
        <v>72</v>
      </c>
      <c r="C68" s="95" t="s">
        <v>73</v>
      </c>
      <c r="D68" s="95" t="s">
        <v>74</v>
      </c>
      <c r="E68" s="95" t="s">
        <v>74</v>
      </c>
      <c r="F68" s="95" t="s">
        <v>210</v>
      </c>
      <c r="G68" s="95" t="s">
        <v>211</v>
      </c>
      <c r="H68" s="93" t="s">
        <v>84</v>
      </c>
      <c r="I68" s="96">
        <f>IF(H68="ILF",IF($C$1="预估功能点",'模板使用说明&amp;基础参数'!$E$15,7),IF(H68="EIF",IF($C$1="预估功能点",'模板使用说明&amp;基础参数'!$E$16,5),IF(H68="EI",IF($C$1="预估功能点",'模板使用说明&amp;基础参数'!$E$17,'模板使用说明&amp;基础参数'!$E$24),IF(H68="EO",IF($C$1="预估功能点",'模板使用说明&amp;基础参数'!$E$18,'模板使用说明&amp;基础参数'!$E$25),IF(H68="EQ",IF($C$1="预估功能点",'模板使用说明&amp;基础参数'!$E$19,'模板使用说明&amp;基础参数'!$E$26),"")))))</f>
        <v>4</v>
      </c>
      <c r="J68" s="97" t="s">
        <v>38</v>
      </c>
      <c r="K68" s="97" t="s">
        <v>78</v>
      </c>
      <c r="L68" s="98">
        <f>IF(I68="","",IF(J68="高",IF(K68="删除",I68*'模板使用说明&amp;基础参数'!$E$5*'模板使用说明&amp;基础参数'!$E$12,IF(K68="修改",I68*'模板使用说明&amp;基础参数'!$E$5*'模板使用说明&amp;基础参数'!$E$11,I68*'模板使用说明&amp;基础参数'!$E$5*'模板使用说明&amp;基础参数'!$E$10)),IF(J68="中",IF(K68="删除",I68*'模板使用说明&amp;基础参数'!$E$6*'模板使用说明&amp;基础参数'!$E$12,IF(K68="修改",I68*'模板使用说明&amp;基础参数'!$E$6*'模板使用说明&amp;基础参数'!$E$11,I68*'模板使用说明&amp;基础参数'!$E$6*'模板使用说明&amp;基础参数'!$E$10)),IF(K68="删除",I68*'模板使用说明&amp;基础参数'!$E$7*'模板使用说明&amp;基础参数'!$E$12,IF(K68="修改",I68*'模板使用说明&amp;基础参数'!$E$7*'模板使用说明&amp;基础参数'!$E$11,I68*'模板使用说明&amp;基础参数'!$E$7*'模板使用说明&amp;基础参数'!$E$10)))))</f>
        <v>1.06666666666667</v>
      </c>
      <c r="M68" s="95"/>
      <c r="N68" s="99"/>
      <c r="O68" s="100"/>
    </row>
    <row r="69" s="70" customFormat="1" ht="25" customHeight="1" spans="1:15">
      <c r="A69" s="93">
        <v>64</v>
      </c>
      <c r="B69" s="94" t="s">
        <v>72</v>
      </c>
      <c r="C69" s="95" t="s">
        <v>73</v>
      </c>
      <c r="D69" s="95" t="s">
        <v>74</v>
      </c>
      <c r="E69" s="95" t="s">
        <v>74</v>
      </c>
      <c r="F69" s="95" t="s">
        <v>212</v>
      </c>
      <c r="G69" s="95" t="s">
        <v>213</v>
      </c>
      <c r="H69" s="93" t="s">
        <v>84</v>
      </c>
      <c r="I69" s="96">
        <f>IF(H69="ILF",IF($C$1="预估功能点",'模板使用说明&amp;基础参数'!$E$15,7),IF(H69="EIF",IF($C$1="预估功能点",'模板使用说明&amp;基础参数'!$E$16,5),IF(H69="EI",IF($C$1="预估功能点",'模板使用说明&amp;基础参数'!$E$17,'模板使用说明&amp;基础参数'!$E$24),IF(H69="EO",IF($C$1="预估功能点",'模板使用说明&amp;基础参数'!$E$18,'模板使用说明&amp;基础参数'!$E$25),IF(H69="EQ",IF($C$1="预估功能点",'模板使用说明&amp;基础参数'!$E$19,'模板使用说明&amp;基础参数'!$E$26),"")))))</f>
        <v>4</v>
      </c>
      <c r="J69" s="97" t="s">
        <v>38</v>
      </c>
      <c r="K69" s="97" t="s">
        <v>78</v>
      </c>
      <c r="L69" s="98">
        <f>IF(I69="","",IF(J69="高",IF(K69="删除",I69*'模板使用说明&amp;基础参数'!$E$5*'模板使用说明&amp;基础参数'!$E$12,IF(K69="修改",I69*'模板使用说明&amp;基础参数'!$E$5*'模板使用说明&amp;基础参数'!$E$11,I69*'模板使用说明&amp;基础参数'!$E$5*'模板使用说明&amp;基础参数'!$E$10)),IF(J69="中",IF(K69="删除",I69*'模板使用说明&amp;基础参数'!$E$6*'模板使用说明&amp;基础参数'!$E$12,IF(K69="修改",I69*'模板使用说明&amp;基础参数'!$E$6*'模板使用说明&amp;基础参数'!$E$11,I69*'模板使用说明&amp;基础参数'!$E$6*'模板使用说明&amp;基础参数'!$E$10)),IF(K69="删除",I69*'模板使用说明&amp;基础参数'!$E$7*'模板使用说明&amp;基础参数'!$E$12,IF(K69="修改",I69*'模板使用说明&amp;基础参数'!$E$7*'模板使用说明&amp;基础参数'!$E$11,I69*'模板使用说明&amp;基础参数'!$E$7*'模板使用说明&amp;基础参数'!$E$10)))))</f>
        <v>1.06666666666667</v>
      </c>
      <c r="M69" s="95"/>
      <c r="N69" s="99"/>
      <c r="O69" s="100"/>
    </row>
    <row r="70" s="70" customFormat="1" ht="25" customHeight="1" spans="1:15">
      <c r="A70" s="93">
        <v>65</v>
      </c>
      <c r="B70" s="94" t="s">
        <v>72</v>
      </c>
      <c r="C70" s="95" t="s">
        <v>73</v>
      </c>
      <c r="D70" s="95" t="s">
        <v>74</v>
      </c>
      <c r="E70" s="95" t="s">
        <v>74</v>
      </c>
      <c r="F70" s="95" t="s">
        <v>214</v>
      </c>
      <c r="G70" s="95" t="s">
        <v>215</v>
      </c>
      <c r="H70" s="93" t="s">
        <v>84</v>
      </c>
      <c r="I70" s="96">
        <f>IF(H70="ILF",IF($C$1="预估功能点",'模板使用说明&amp;基础参数'!$E$15,7),IF(H70="EIF",IF($C$1="预估功能点",'模板使用说明&amp;基础参数'!$E$16,5),IF(H70="EI",IF($C$1="预估功能点",'模板使用说明&amp;基础参数'!$E$17,'模板使用说明&amp;基础参数'!$E$24),IF(H70="EO",IF($C$1="预估功能点",'模板使用说明&amp;基础参数'!$E$18,'模板使用说明&amp;基础参数'!$E$25),IF(H70="EQ",IF($C$1="预估功能点",'模板使用说明&amp;基础参数'!$E$19,'模板使用说明&amp;基础参数'!$E$26),"")))))</f>
        <v>4</v>
      </c>
      <c r="J70" s="97" t="s">
        <v>38</v>
      </c>
      <c r="K70" s="97" t="s">
        <v>78</v>
      </c>
      <c r="L70" s="98">
        <f>IF(I70="","",IF(J70="高",IF(K70="删除",I70*'模板使用说明&amp;基础参数'!$E$5*'模板使用说明&amp;基础参数'!$E$12,IF(K70="修改",I70*'模板使用说明&amp;基础参数'!$E$5*'模板使用说明&amp;基础参数'!$E$11,I70*'模板使用说明&amp;基础参数'!$E$5*'模板使用说明&amp;基础参数'!$E$10)),IF(J70="中",IF(K70="删除",I70*'模板使用说明&amp;基础参数'!$E$6*'模板使用说明&amp;基础参数'!$E$12,IF(K70="修改",I70*'模板使用说明&amp;基础参数'!$E$6*'模板使用说明&amp;基础参数'!$E$11,I70*'模板使用说明&amp;基础参数'!$E$6*'模板使用说明&amp;基础参数'!$E$10)),IF(K70="删除",I70*'模板使用说明&amp;基础参数'!$E$7*'模板使用说明&amp;基础参数'!$E$12,IF(K70="修改",I70*'模板使用说明&amp;基础参数'!$E$7*'模板使用说明&amp;基础参数'!$E$11,I70*'模板使用说明&amp;基础参数'!$E$7*'模板使用说明&amp;基础参数'!$E$10)))))</f>
        <v>1.06666666666667</v>
      </c>
      <c r="M70" s="95"/>
      <c r="N70" s="99"/>
      <c r="O70" s="100"/>
    </row>
    <row r="71" s="70" customFormat="1" ht="25" customHeight="1" spans="1:15">
      <c r="A71" s="93">
        <v>66</v>
      </c>
      <c r="B71" s="94" t="s">
        <v>72</v>
      </c>
      <c r="C71" s="95" t="s">
        <v>73</v>
      </c>
      <c r="D71" s="95" t="s">
        <v>74</v>
      </c>
      <c r="E71" s="95" t="s">
        <v>74</v>
      </c>
      <c r="F71" s="95" t="s">
        <v>216</v>
      </c>
      <c r="G71" s="95" t="s">
        <v>217</v>
      </c>
      <c r="H71" s="93" t="s">
        <v>77</v>
      </c>
      <c r="I71" s="96">
        <f>IF(H71="ILF",IF($C$1="预估功能点",'模板使用说明&amp;基础参数'!$E$15,7),IF(H71="EIF",IF($C$1="预估功能点",'模板使用说明&amp;基础参数'!$E$16,5),IF(H71="EI",IF($C$1="预估功能点",'模板使用说明&amp;基础参数'!$E$17,'模板使用说明&amp;基础参数'!$E$24),IF(H71="EO",IF($C$1="预估功能点",'模板使用说明&amp;基础参数'!$E$18,'模板使用说明&amp;基础参数'!$E$25),IF(H71="EQ",IF($C$1="预估功能点",'模板使用说明&amp;基础参数'!$E$19,'模板使用说明&amp;基础参数'!$E$26),"")))))</f>
        <v>7</v>
      </c>
      <c r="J71" s="97" t="s">
        <v>38</v>
      </c>
      <c r="K71" s="97" t="s">
        <v>78</v>
      </c>
      <c r="L71" s="98">
        <f>IF(I71="","",IF(J71="高",IF(K71="删除",I71*'模板使用说明&amp;基础参数'!$E$5*'模板使用说明&amp;基础参数'!$E$12,IF(K71="修改",I71*'模板使用说明&amp;基础参数'!$E$5*'模板使用说明&amp;基础参数'!$E$11,I71*'模板使用说明&amp;基础参数'!$E$5*'模板使用说明&amp;基础参数'!$E$10)),IF(J71="中",IF(K71="删除",I71*'模板使用说明&amp;基础参数'!$E$6*'模板使用说明&amp;基础参数'!$E$12,IF(K71="修改",I71*'模板使用说明&amp;基础参数'!$E$6*'模板使用说明&amp;基础参数'!$E$11,I71*'模板使用说明&amp;基础参数'!$E$6*'模板使用说明&amp;基础参数'!$E$10)),IF(K71="删除",I71*'模板使用说明&amp;基础参数'!$E$7*'模板使用说明&amp;基础参数'!$E$12,IF(K71="修改",I71*'模板使用说明&amp;基础参数'!$E$7*'模板使用说明&amp;基础参数'!$E$11,I71*'模板使用说明&amp;基础参数'!$E$7*'模板使用说明&amp;基础参数'!$E$10)))))</f>
        <v>1.86666666666666</v>
      </c>
      <c r="M71" s="95"/>
      <c r="N71" s="99"/>
      <c r="O71" s="100"/>
    </row>
    <row r="72" s="70" customFormat="1" ht="25" customHeight="1" spans="1:15">
      <c r="A72" s="93">
        <v>67</v>
      </c>
      <c r="B72" s="94" t="s">
        <v>72</v>
      </c>
      <c r="C72" s="95" t="s">
        <v>73</v>
      </c>
      <c r="D72" s="95" t="s">
        <v>74</v>
      </c>
      <c r="E72" s="95" t="s">
        <v>74</v>
      </c>
      <c r="F72" s="95" t="s">
        <v>218</v>
      </c>
      <c r="G72" s="95" t="s">
        <v>219</v>
      </c>
      <c r="H72" s="93" t="s">
        <v>81</v>
      </c>
      <c r="I72" s="96">
        <f>IF(H72="ILF",IF($C$1="预估功能点",'模板使用说明&amp;基础参数'!$E$15,7),IF(H72="EIF",IF($C$1="预估功能点",'模板使用说明&amp;基础参数'!$E$16,5),IF(H72="EI",IF($C$1="预估功能点",'模板使用说明&amp;基础参数'!$E$17,'模板使用说明&amp;基础参数'!$E$24),IF(H72="EO",IF($C$1="预估功能点",'模板使用说明&amp;基础参数'!$E$18,'模板使用说明&amp;基础参数'!$E$25),IF(H72="EQ",IF($C$1="预估功能点",'模板使用说明&amp;基础参数'!$E$19,'模板使用说明&amp;基础参数'!$E$26),"")))))</f>
        <v>4</v>
      </c>
      <c r="J72" s="97" t="s">
        <v>38</v>
      </c>
      <c r="K72" s="97" t="s">
        <v>78</v>
      </c>
      <c r="L72" s="98">
        <f>IF(I72="","",IF(J72="高",IF(K72="删除",I72*'模板使用说明&amp;基础参数'!$E$5*'模板使用说明&amp;基础参数'!$E$12,IF(K72="修改",I72*'模板使用说明&amp;基础参数'!$E$5*'模板使用说明&amp;基础参数'!$E$11,I72*'模板使用说明&amp;基础参数'!$E$5*'模板使用说明&amp;基础参数'!$E$10)),IF(J72="中",IF(K72="删除",I72*'模板使用说明&amp;基础参数'!$E$6*'模板使用说明&amp;基础参数'!$E$12,IF(K72="修改",I72*'模板使用说明&amp;基础参数'!$E$6*'模板使用说明&amp;基础参数'!$E$11,I72*'模板使用说明&amp;基础参数'!$E$6*'模板使用说明&amp;基础参数'!$E$10)),IF(K72="删除",I72*'模板使用说明&amp;基础参数'!$E$7*'模板使用说明&amp;基础参数'!$E$12,IF(K72="修改",I72*'模板使用说明&amp;基础参数'!$E$7*'模板使用说明&amp;基础参数'!$E$11,I72*'模板使用说明&amp;基础参数'!$E$7*'模板使用说明&amp;基础参数'!$E$10)))))</f>
        <v>1.06666666666667</v>
      </c>
      <c r="M72" s="95"/>
      <c r="N72" s="99"/>
      <c r="O72" s="100"/>
    </row>
    <row r="73" s="70" customFormat="1" ht="25" customHeight="1" spans="1:15">
      <c r="A73" s="93">
        <v>68</v>
      </c>
      <c r="B73" s="94" t="s">
        <v>72</v>
      </c>
      <c r="C73" s="95" t="s">
        <v>73</v>
      </c>
      <c r="D73" s="95" t="s">
        <v>74</v>
      </c>
      <c r="E73" s="95" t="s">
        <v>74</v>
      </c>
      <c r="F73" s="95" t="s">
        <v>220</v>
      </c>
      <c r="G73" s="95" t="s">
        <v>221</v>
      </c>
      <c r="H73" s="93" t="s">
        <v>84</v>
      </c>
      <c r="I73" s="96">
        <f>IF(H73="ILF",IF($C$1="预估功能点",'模板使用说明&amp;基础参数'!$E$15,7),IF(H73="EIF",IF($C$1="预估功能点",'模板使用说明&amp;基础参数'!$E$16,5),IF(H73="EI",IF($C$1="预估功能点",'模板使用说明&amp;基础参数'!$E$17,'模板使用说明&amp;基础参数'!$E$24),IF(H73="EO",IF($C$1="预估功能点",'模板使用说明&amp;基础参数'!$E$18,'模板使用说明&amp;基础参数'!$E$25),IF(H73="EQ",IF($C$1="预估功能点",'模板使用说明&amp;基础参数'!$E$19,'模板使用说明&amp;基础参数'!$E$26),"")))))</f>
        <v>4</v>
      </c>
      <c r="J73" s="97" t="s">
        <v>38</v>
      </c>
      <c r="K73" s="97" t="s">
        <v>78</v>
      </c>
      <c r="L73" s="98">
        <f>IF(I73="","",IF(J73="高",IF(K73="删除",I73*'模板使用说明&amp;基础参数'!$E$5*'模板使用说明&amp;基础参数'!$E$12,IF(K73="修改",I73*'模板使用说明&amp;基础参数'!$E$5*'模板使用说明&amp;基础参数'!$E$11,I73*'模板使用说明&amp;基础参数'!$E$5*'模板使用说明&amp;基础参数'!$E$10)),IF(J73="中",IF(K73="删除",I73*'模板使用说明&amp;基础参数'!$E$6*'模板使用说明&amp;基础参数'!$E$12,IF(K73="修改",I73*'模板使用说明&amp;基础参数'!$E$6*'模板使用说明&amp;基础参数'!$E$11,I73*'模板使用说明&amp;基础参数'!$E$6*'模板使用说明&amp;基础参数'!$E$10)),IF(K73="删除",I73*'模板使用说明&amp;基础参数'!$E$7*'模板使用说明&amp;基础参数'!$E$12,IF(K73="修改",I73*'模板使用说明&amp;基础参数'!$E$7*'模板使用说明&amp;基础参数'!$E$11,I73*'模板使用说明&amp;基础参数'!$E$7*'模板使用说明&amp;基础参数'!$E$10)))))</f>
        <v>1.06666666666667</v>
      </c>
      <c r="M73" s="95"/>
      <c r="N73" s="99"/>
      <c r="O73" s="100"/>
    </row>
    <row r="74" s="70" customFormat="1" ht="25" customHeight="1" spans="1:15">
      <c r="A74" s="93">
        <v>69</v>
      </c>
      <c r="B74" s="94" t="s">
        <v>72</v>
      </c>
      <c r="C74" s="95" t="s">
        <v>73</v>
      </c>
      <c r="D74" s="95" t="s">
        <v>74</v>
      </c>
      <c r="E74" s="95" t="s">
        <v>74</v>
      </c>
      <c r="F74" s="95" t="s">
        <v>222</v>
      </c>
      <c r="G74" s="95" t="s">
        <v>223</v>
      </c>
      <c r="H74" s="93" t="s">
        <v>84</v>
      </c>
      <c r="I74" s="96">
        <f>IF(H74="ILF",IF($C$1="预估功能点",'模板使用说明&amp;基础参数'!$E$15,7),IF(H74="EIF",IF($C$1="预估功能点",'模板使用说明&amp;基础参数'!$E$16,5),IF(H74="EI",IF($C$1="预估功能点",'模板使用说明&amp;基础参数'!$E$17,'模板使用说明&amp;基础参数'!$E$24),IF(H74="EO",IF($C$1="预估功能点",'模板使用说明&amp;基础参数'!$E$18,'模板使用说明&amp;基础参数'!$E$25),IF(H74="EQ",IF($C$1="预估功能点",'模板使用说明&amp;基础参数'!$E$19,'模板使用说明&amp;基础参数'!$E$26),"")))))</f>
        <v>4</v>
      </c>
      <c r="J74" s="97" t="s">
        <v>38</v>
      </c>
      <c r="K74" s="97" t="s">
        <v>78</v>
      </c>
      <c r="L74" s="98">
        <f>IF(I74="","",IF(J74="高",IF(K74="删除",I74*'模板使用说明&amp;基础参数'!$E$5*'模板使用说明&amp;基础参数'!$E$12,IF(K74="修改",I74*'模板使用说明&amp;基础参数'!$E$5*'模板使用说明&amp;基础参数'!$E$11,I74*'模板使用说明&amp;基础参数'!$E$5*'模板使用说明&amp;基础参数'!$E$10)),IF(J74="中",IF(K74="删除",I74*'模板使用说明&amp;基础参数'!$E$6*'模板使用说明&amp;基础参数'!$E$12,IF(K74="修改",I74*'模板使用说明&amp;基础参数'!$E$6*'模板使用说明&amp;基础参数'!$E$11,I74*'模板使用说明&amp;基础参数'!$E$6*'模板使用说明&amp;基础参数'!$E$10)),IF(K74="删除",I74*'模板使用说明&amp;基础参数'!$E$7*'模板使用说明&amp;基础参数'!$E$12,IF(K74="修改",I74*'模板使用说明&amp;基础参数'!$E$7*'模板使用说明&amp;基础参数'!$E$11,I74*'模板使用说明&amp;基础参数'!$E$7*'模板使用说明&amp;基础参数'!$E$10)))))</f>
        <v>1.06666666666667</v>
      </c>
      <c r="M74" s="95"/>
      <c r="N74" s="99"/>
      <c r="O74" s="100"/>
    </row>
    <row r="75" s="70" customFormat="1" ht="25" customHeight="1" spans="1:15">
      <c r="A75" s="93">
        <v>70</v>
      </c>
      <c r="B75" s="94" t="s">
        <v>72</v>
      </c>
      <c r="C75" s="95" t="s">
        <v>73</v>
      </c>
      <c r="D75" s="95" t="s">
        <v>74</v>
      </c>
      <c r="E75" s="95" t="s">
        <v>74</v>
      </c>
      <c r="F75" s="95" t="s">
        <v>224</v>
      </c>
      <c r="G75" s="95" t="s">
        <v>225</v>
      </c>
      <c r="H75" s="93" t="s">
        <v>84</v>
      </c>
      <c r="I75" s="96">
        <f>IF(H75="ILF",IF($C$1="预估功能点",'模板使用说明&amp;基础参数'!$E$15,7),IF(H75="EIF",IF($C$1="预估功能点",'模板使用说明&amp;基础参数'!$E$16,5),IF(H75="EI",IF($C$1="预估功能点",'模板使用说明&amp;基础参数'!$E$17,'模板使用说明&amp;基础参数'!$E$24),IF(H75="EO",IF($C$1="预估功能点",'模板使用说明&amp;基础参数'!$E$18,'模板使用说明&amp;基础参数'!$E$25),IF(H75="EQ",IF($C$1="预估功能点",'模板使用说明&amp;基础参数'!$E$19,'模板使用说明&amp;基础参数'!$E$26),"")))))</f>
        <v>4</v>
      </c>
      <c r="J75" s="97" t="s">
        <v>38</v>
      </c>
      <c r="K75" s="97" t="s">
        <v>78</v>
      </c>
      <c r="L75" s="98">
        <f>IF(I75="","",IF(J75="高",IF(K75="删除",I75*'模板使用说明&amp;基础参数'!$E$5*'模板使用说明&amp;基础参数'!$E$12,IF(K75="修改",I75*'模板使用说明&amp;基础参数'!$E$5*'模板使用说明&amp;基础参数'!$E$11,I75*'模板使用说明&amp;基础参数'!$E$5*'模板使用说明&amp;基础参数'!$E$10)),IF(J75="中",IF(K75="删除",I75*'模板使用说明&amp;基础参数'!$E$6*'模板使用说明&amp;基础参数'!$E$12,IF(K75="修改",I75*'模板使用说明&amp;基础参数'!$E$6*'模板使用说明&amp;基础参数'!$E$11,I75*'模板使用说明&amp;基础参数'!$E$6*'模板使用说明&amp;基础参数'!$E$10)),IF(K75="删除",I75*'模板使用说明&amp;基础参数'!$E$7*'模板使用说明&amp;基础参数'!$E$12,IF(K75="修改",I75*'模板使用说明&amp;基础参数'!$E$7*'模板使用说明&amp;基础参数'!$E$11,I75*'模板使用说明&amp;基础参数'!$E$7*'模板使用说明&amp;基础参数'!$E$10)))))</f>
        <v>1.06666666666667</v>
      </c>
      <c r="M75" s="95"/>
      <c r="N75" s="99"/>
      <c r="O75" s="100"/>
    </row>
    <row r="76" s="70" customFormat="1" ht="25" customHeight="1" spans="1:15">
      <c r="A76" s="93">
        <v>71</v>
      </c>
      <c r="B76" s="94" t="s">
        <v>72</v>
      </c>
      <c r="C76" s="95" t="s">
        <v>73</v>
      </c>
      <c r="D76" s="95" t="s">
        <v>74</v>
      </c>
      <c r="E76" s="95" t="s">
        <v>74</v>
      </c>
      <c r="F76" s="95" t="s">
        <v>226</v>
      </c>
      <c r="G76" s="95" t="s">
        <v>227</v>
      </c>
      <c r="H76" s="93" t="s">
        <v>77</v>
      </c>
      <c r="I76" s="96">
        <f>IF(H76="ILF",IF($C$1="预估功能点",'模板使用说明&amp;基础参数'!$E$15,7),IF(H76="EIF",IF($C$1="预估功能点",'模板使用说明&amp;基础参数'!$E$16,5),IF(H76="EI",IF($C$1="预估功能点",'模板使用说明&amp;基础参数'!$E$17,'模板使用说明&amp;基础参数'!$E$24),IF(H76="EO",IF($C$1="预估功能点",'模板使用说明&amp;基础参数'!$E$18,'模板使用说明&amp;基础参数'!$E$25),IF(H76="EQ",IF($C$1="预估功能点",'模板使用说明&amp;基础参数'!$E$19,'模板使用说明&amp;基础参数'!$E$26),"")))))</f>
        <v>7</v>
      </c>
      <c r="J76" s="97" t="s">
        <v>38</v>
      </c>
      <c r="K76" s="97" t="s">
        <v>78</v>
      </c>
      <c r="L76" s="98">
        <f>IF(I76="","",IF(J76="高",IF(K76="删除",I76*'模板使用说明&amp;基础参数'!$E$5*'模板使用说明&amp;基础参数'!$E$12,IF(K76="修改",I76*'模板使用说明&amp;基础参数'!$E$5*'模板使用说明&amp;基础参数'!$E$11,I76*'模板使用说明&amp;基础参数'!$E$5*'模板使用说明&amp;基础参数'!$E$10)),IF(J76="中",IF(K76="删除",I76*'模板使用说明&amp;基础参数'!$E$6*'模板使用说明&amp;基础参数'!$E$12,IF(K76="修改",I76*'模板使用说明&amp;基础参数'!$E$6*'模板使用说明&amp;基础参数'!$E$11,I76*'模板使用说明&amp;基础参数'!$E$6*'模板使用说明&amp;基础参数'!$E$10)),IF(K76="删除",I76*'模板使用说明&amp;基础参数'!$E$7*'模板使用说明&amp;基础参数'!$E$12,IF(K76="修改",I76*'模板使用说明&amp;基础参数'!$E$7*'模板使用说明&amp;基础参数'!$E$11,I76*'模板使用说明&amp;基础参数'!$E$7*'模板使用说明&amp;基础参数'!$E$10)))))</f>
        <v>1.86666666666666</v>
      </c>
      <c r="M76" s="95"/>
      <c r="N76" s="99"/>
      <c r="O76" s="100"/>
    </row>
    <row r="77" s="70" customFormat="1" ht="25" customHeight="1" spans="1:15">
      <c r="A77" s="93">
        <v>72</v>
      </c>
      <c r="B77" s="94" t="s">
        <v>72</v>
      </c>
      <c r="C77" s="95" t="s">
        <v>73</v>
      </c>
      <c r="D77" s="95" t="s">
        <v>74</v>
      </c>
      <c r="E77" s="95" t="s">
        <v>74</v>
      </c>
      <c r="F77" s="95" t="s">
        <v>228</v>
      </c>
      <c r="G77" s="95" t="s">
        <v>229</v>
      </c>
      <c r="H77" s="93" t="s">
        <v>81</v>
      </c>
      <c r="I77" s="96">
        <f>IF(H77="ILF",IF($C$1="预估功能点",'模板使用说明&amp;基础参数'!$E$15,7),IF(H77="EIF",IF($C$1="预估功能点",'模板使用说明&amp;基础参数'!$E$16,5),IF(H77="EI",IF($C$1="预估功能点",'模板使用说明&amp;基础参数'!$E$17,'模板使用说明&amp;基础参数'!$E$24),IF(H77="EO",IF($C$1="预估功能点",'模板使用说明&amp;基础参数'!$E$18,'模板使用说明&amp;基础参数'!$E$25),IF(H77="EQ",IF($C$1="预估功能点",'模板使用说明&amp;基础参数'!$E$19,'模板使用说明&amp;基础参数'!$E$26),"")))))</f>
        <v>4</v>
      </c>
      <c r="J77" s="97" t="s">
        <v>38</v>
      </c>
      <c r="K77" s="97" t="s">
        <v>78</v>
      </c>
      <c r="L77" s="98">
        <f>IF(I77="","",IF(J77="高",IF(K77="删除",I77*'模板使用说明&amp;基础参数'!$E$5*'模板使用说明&amp;基础参数'!$E$12,IF(K77="修改",I77*'模板使用说明&amp;基础参数'!$E$5*'模板使用说明&amp;基础参数'!$E$11,I77*'模板使用说明&amp;基础参数'!$E$5*'模板使用说明&amp;基础参数'!$E$10)),IF(J77="中",IF(K77="删除",I77*'模板使用说明&amp;基础参数'!$E$6*'模板使用说明&amp;基础参数'!$E$12,IF(K77="修改",I77*'模板使用说明&amp;基础参数'!$E$6*'模板使用说明&amp;基础参数'!$E$11,I77*'模板使用说明&amp;基础参数'!$E$6*'模板使用说明&amp;基础参数'!$E$10)),IF(K77="删除",I77*'模板使用说明&amp;基础参数'!$E$7*'模板使用说明&amp;基础参数'!$E$12,IF(K77="修改",I77*'模板使用说明&amp;基础参数'!$E$7*'模板使用说明&amp;基础参数'!$E$11,I77*'模板使用说明&amp;基础参数'!$E$7*'模板使用说明&amp;基础参数'!$E$10)))))</f>
        <v>1.06666666666667</v>
      </c>
      <c r="M77" s="95"/>
      <c r="N77" s="99"/>
      <c r="O77" s="100"/>
    </row>
    <row r="78" s="70" customFormat="1" ht="25" customHeight="1" spans="1:15">
      <c r="A78" s="93">
        <v>73</v>
      </c>
      <c r="B78" s="94" t="s">
        <v>72</v>
      </c>
      <c r="C78" s="95" t="s">
        <v>73</v>
      </c>
      <c r="D78" s="95" t="s">
        <v>74</v>
      </c>
      <c r="E78" s="95" t="s">
        <v>74</v>
      </c>
      <c r="F78" s="95" t="s">
        <v>230</v>
      </c>
      <c r="G78" s="95" t="s">
        <v>231</v>
      </c>
      <c r="H78" s="93" t="s">
        <v>84</v>
      </c>
      <c r="I78" s="96">
        <f>IF(H78="ILF",IF($C$1="预估功能点",'模板使用说明&amp;基础参数'!$E$15,7),IF(H78="EIF",IF($C$1="预估功能点",'模板使用说明&amp;基础参数'!$E$16,5),IF(H78="EI",IF($C$1="预估功能点",'模板使用说明&amp;基础参数'!$E$17,'模板使用说明&amp;基础参数'!$E$24),IF(H78="EO",IF($C$1="预估功能点",'模板使用说明&amp;基础参数'!$E$18,'模板使用说明&amp;基础参数'!$E$25),IF(H78="EQ",IF($C$1="预估功能点",'模板使用说明&amp;基础参数'!$E$19,'模板使用说明&amp;基础参数'!$E$26),"")))))</f>
        <v>4</v>
      </c>
      <c r="J78" s="97" t="s">
        <v>38</v>
      </c>
      <c r="K78" s="97" t="s">
        <v>78</v>
      </c>
      <c r="L78" s="98">
        <f>IF(I78="","",IF(J78="高",IF(K78="删除",I78*'模板使用说明&amp;基础参数'!$E$5*'模板使用说明&amp;基础参数'!$E$12,IF(K78="修改",I78*'模板使用说明&amp;基础参数'!$E$5*'模板使用说明&amp;基础参数'!$E$11,I78*'模板使用说明&amp;基础参数'!$E$5*'模板使用说明&amp;基础参数'!$E$10)),IF(J78="中",IF(K78="删除",I78*'模板使用说明&amp;基础参数'!$E$6*'模板使用说明&amp;基础参数'!$E$12,IF(K78="修改",I78*'模板使用说明&amp;基础参数'!$E$6*'模板使用说明&amp;基础参数'!$E$11,I78*'模板使用说明&amp;基础参数'!$E$6*'模板使用说明&amp;基础参数'!$E$10)),IF(K78="删除",I78*'模板使用说明&amp;基础参数'!$E$7*'模板使用说明&amp;基础参数'!$E$12,IF(K78="修改",I78*'模板使用说明&amp;基础参数'!$E$7*'模板使用说明&amp;基础参数'!$E$11,I78*'模板使用说明&amp;基础参数'!$E$7*'模板使用说明&amp;基础参数'!$E$10)))))</f>
        <v>1.06666666666667</v>
      </c>
      <c r="M78" s="95"/>
      <c r="N78" s="99"/>
      <c r="O78" s="100"/>
    </row>
    <row r="79" s="70" customFormat="1" ht="25" customHeight="1" spans="1:15">
      <c r="A79" s="93">
        <v>74</v>
      </c>
      <c r="B79" s="94" t="s">
        <v>72</v>
      </c>
      <c r="C79" s="95" t="s">
        <v>73</v>
      </c>
      <c r="D79" s="95" t="s">
        <v>74</v>
      </c>
      <c r="E79" s="95" t="s">
        <v>74</v>
      </c>
      <c r="F79" s="95" t="s">
        <v>232</v>
      </c>
      <c r="G79" s="95" t="s">
        <v>233</v>
      </c>
      <c r="H79" s="93" t="s">
        <v>84</v>
      </c>
      <c r="I79" s="96">
        <f>IF(H79="ILF",IF($C$1="预估功能点",'模板使用说明&amp;基础参数'!$E$15,7),IF(H79="EIF",IF($C$1="预估功能点",'模板使用说明&amp;基础参数'!$E$16,5),IF(H79="EI",IF($C$1="预估功能点",'模板使用说明&amp;基础参数'!$E$17,'模板使用说明&amp;基础参数'!$E$24),IF(H79="EO",IF($C$1="预估功能点",'模板使用说明&amp;基础参数'!$E$18,'模板使用说明&amp;基础参数'!$E$25),IF(H79="EQ",IF($C$1="预估功能点",'模板使用说明&amp;基础参数'!$E$19,'模板使用说明&amp;基础参数'!$E$26),"")))))</f>
        <v>4</v>
      </c>
      <c r="J79" s="97" t="s">
        <v>38</v>
      </c>
      <c r="K79" s="97" t="s">
        <v>78</v>
      </c>
      <c r="L79" s="98">
        <f>IF(I79="","",IF(J79="高",IF(K79="删除",I79*'模板使用说明&amp;基础参数'!$E$5*'模板使用说明&amp;基础参数'!$E$12,IF(K79="修改",I79*'模板使用说明&amp;基础参数'!$E$5*'模板使用说明&amp;基础参数'!$E$11,I79*'模板使用说明&amp;基础参数'!$E$5*'模板使用说明&amp;基础参数'!$E$10)),IF(J79="中",IF(K79="删除",I79*'模板使用说明&amp;基础参数'!$E$6*'模板使用说明&amp;基础参数'!$E$12,IF(K79="修改",I79*'模板使用说明&amp;基础参数'!$E$6*'模板使用说明&amp;基础参数'!$E$11,I79*'模板使用说明&amp;基础参数'!$E$6*'模板使用说明&amp;基础参数'!$E$10)),IF(K79="删除",I79*'模板使用说明&amp;基础参数'!$E$7*'模板使用说明&amp;基础参数'!$E$12,IF(K79="修改",I79*'模板使用说明&amp;基础参数'!$E$7*'模板使用说明&amp;基础参数'!$E$11,I79*'模板使用说明&amp;基础参数'!$E$7*'模板使用说明&amp;基础参数'!$E$10)))))</f>
        <v>1.06666666666667</v>
      </c>
      <c r="M79" s="95"/>
      <c r="N79" s="99"/>
      <c r="O79" s="100"/>
    </row>
    <row r="80" s="70" customFormat="1" ht="25" customHeight="1" spans="1:15">
      <c r="A80" s="93">
        <v>75</v>
      </c>
      <c r="B80" s="94" t="s">
        <v>72</v>
      </c>
      <c r="C80" s="95" t="s">
        <v>73</v>
      </c>
      <c r="D80" s="95" t="s">
        <v>74</v>
      </c>
      <c r="E80" s="95" t="s">
        <v>74</v>
      </c>
      <c r="F80" s="95" t="s">
        <v>234</v>
      </c>
      <c r="G80" s="95" t="s">
        <v>235</v>
      </c>
      <c r="H80" s="93" t="s">
        <v>84</v>
      </c>
      <c r="I80" s="96">
        <f>IF(H80="ILF",IF($C$1="预估功能点",'模板使用说明&amp;基础参数'!$E$15,7),IF(H80="EIF",IF($C$1="预估功能点",'模板使用说明&amp;基础参数'!$E$16,5),IF(H80="EI",IF($C$1="预估功能点",'模板使用说明&amp;基础参数'!$E$17,'模板使用说明&amp;基础参数'!$E$24),IF(H80="EO",IF($C$1="预估功能点",'模板使用说明&amp;基础参数'!$E$18,'模板使用说明&amp;基础参数'!$E$25),IF(H80="EQ",IF($C$1="预估功能点",'模板使用说明&amp;基础参数'!$E$19,'模板使用说明&amp;基础参数'!$E$26),"")))))</f>
        <v>4</v>
      </c>
      <c r="J80" s="97" t="s">
        <v>38</v>
      </c>
      <c r="K80" s="97" t="s">
        <v>78</v>
      </c>
      <c r="L80" s="98">
        <f>IF(I80="","",IF(J80="高",IF(K80="删除",I80*'模板使用说明&amp;基础参数'!$E$5*'模板使用说明&amp;基础参数'!$E$12,IF(K80="修改",I80*'模板使用说明&amp;基础参数'!$E$5*'模板使用说明&amp;基础参数'!$E$11,I80*'模板使用说明&amp;基础参数'!$E$5*'模板使用说明&amp;基础参数'!$E$10)),IF(J80="中",IF(K80="删除",I80*'模板使用说明&amp;基础参数'!$E$6*'模板使用说明&amp;基础参数'!$E$12,IF(K80="修改",I80*'模板使用说明&amp;基础参数'!$E$6*'模板使用说明&amp;基础参数'!$E$11,I80*'模板使用说明&amp;基础参数'!$E$6*'模板使用说明&amp;基础参数'!$E$10)),IF(K80="删除",I80*'模板使用说明&amp;基础参数'!$E$7*'模板使用说明&amp;基础参数'!$E$12,IF(K80="修改",I80*'模板使用说明&amp;基础参数'!$E$7*'模板使用说明&amp;基础参数'!$E$11,I80*'模板使用说明&amp;基础参数'!$E$7*'模板使用说明&amp;基础参数'!$E$10)))))</f>
        <v>1.06666666666667</v>
      </c>
      <c r="M80" s="95"/>
      <c r="N80" s="99"/>
      <c r="O80" s="100"/>
    </row>
    <row r="81" s="70" customFormat="1" ht="25" customHeight="1" spans="1:15">
      <c r="A81" s="93">
        <v>76</v>
      </c>
      <c r="B81" s="94" t="s">
        <v>72</v>
      </c>
      <c r="C81" s="95" t="s">
        <v>73</v>
      </c>
      <c r="D81" s="95" t="s">
        <v>74</v>
      </c>
      <c r="E81" s="95" t="s">
        <v>74</v>
      </c>
      <c r="F81" s="95" t="s">
        <v>236</v>
      </c>
      <c r="G81" s="95" t="s">
        <v>237</v>
      </c>
      <c r="H81" s="93" t="s">
        <v>77</v>
      </c>
      <c r="I81" s="96">
        <f>IF(H81="ILF",IF($C$1="预估功能点",'模板使用说明&amp;基础参数'!$E$15,7),IF(H81="EIF",IF($C$1="预估功能点",'模板使用说明&amp;基础参数'!$E$16,5),IF(H81="EI",IF($C$1="预估功能点",'模板使用说明&amp;基础参数'!$E$17,'模板使用说明&amp;基础参数'!$E$24),IF(H81="EO",IF($C$1="预估功能点",'模板使用说明&amp;基础参数'!$E$18,'模板使用说明&amp;基础参数'!$E$25),IF(H81="EQ",IF($C$1="预估功能点",'模板使用说明&amp;基础参数'!$E$19,'模板使用说明&amp;基础参数'!$E$26),"")))))</f>
        <v>7</v>
      </c>
      <c r="J81" s="97" t="s">
        <v>38</v>
      </c>
      <c r="K81" s="97" t="s">
        <v>78</v>
      </c>
      <c r="L81" s="98">
        <f>IF(I81="","",IF(J81="高",IF(K81="删除",I81*'模板使用说明&amp;基础参数'!$E$5*'模板使用说明&amp;基础参数'!$E$12,IF(K81="修改",I81*'模板使用说明&amp;基础参数'!$E$5*'模板使用说明&amp;基础参数'!$E$11,I81*'模板使用说明&amp;基础参数'!$E$5*'模板使用说明&amp;基础参数'!$E$10)),IF(J81="中",IF(K81="删除",I81*'模板使用说明&amp;基础参数'!$E$6*'模板使用说明&amp;基础参数'!$E$12,IF(K81="修改",I81*'模板使用说明&amp;基础参数'!$E$6*'模板使用说明&amp;基础参数'!$E$11,I81*'模板使用说明&amp;基础参数'!$E$6*'模板使用说明&amp;基础参数'!$E$10)),IF(K81="删除",I81*'模板使用说明&amp;基础参数'!$E$7*'模板使用说明&amp;基础参数'!$E$12,IF(K81="修改",I81*'模板使用说明&amp;基础参数'!$E$7*'模板使用说明&amp;基础参数'!$E$11,I81*'模板使用说明&amp;基础参数'!$E$7*'模板使用说明&amp;基础参数'!$E$10)))))</f>
        <v>1.86666666666666</v>
      </c>
      <c r="M81" s="95"/>
      <c r="N81" s="99"/>
      <c r="O81" s="100"/>
    </row>
    <row r="82" s="70" customFormat="1" ht="25" customHeight="1" spans="1:15">
      <c r="A82" s="93">
        <v>77</v>
      </c>
      <c r="B82" s="94" t="s">
        <v>72</v>
      </c>
      <c r="C82" s="95" t="s">
        <v>73</v>
      </c>
      <c r="D82" s="95" t="s">
        <v>74</v>
      </c>
      <c r="E82" s="95" t="s">
        <v>74</v>
      </c>
      <c r="F82" s="95" t="s">
        <v>238</v>
      </c>
      <c r="G82" s="95" t="s">
        <v>239</v>
      </c>
      <c r="H82" s="93" t="s">
        <v>81</v>
      </c>
      <c r="I82" s="96">
        <f>IF(H82="ILF",IF($C$1="预估功能点",'模板使用说明&amp;基础参数'!$E$15,7),IF(H82="EIF",IF($C$1="预估功能点",'模板使用说明&amp;基础参数'!$E$16,5),IF(H82="EI",IF($C$1="预估功能点",'模板使用说明&amp;基础参数'!$E$17,'模板使用说明&amp;基础参数'!$E$24),IF(H82="EO",IF($C$1="预估功能点",'模板使用说明&amp;基础参数'!$E$18,'模板使用说明&amp;基础参数'!$E$25),IF(H82="EQ",IF($C$1="预估功能点",'模板使用说明&amp;基础参数'!$E$19,'模板使用说明&amp;基础参数'!$E$26),"")))))</f>
        <v>4</v>
      </c>
      <c r="J82" s="97" t="s">
        <v>38</v>
      </c>
      <c r="K82" s="97" t="s">
        <v>78</v>
      </c>
      <c r="L82" s="98">
        <f>IF(I82="","",IF(J82="高",IF(K82="删除",I82*'模板使用说明&amp;基础参数'!$E$5*'模板使用说明&amp;基础参数'!$E$12,IF(K82="修改",I82*'模板使用说明&amp;基础参数'!$E$5*'模板使用说明&amp;基础参数'!$E$11,I82*'模板使用说明&amp;基础参数'!$E$5*'模板使用说明&amp;基础参数'!$E$10)),IF(J82="中",IF(K82="删除",I82*'模板使用说明&amp;基础参数'!$E$6*'模板使用说明&amp;基础参数'!$E$12,IF(K82="修改",I82*'模板使用说明&amp;基础参数'!$E$6*'模板使用说明&amp;基础参数'!$E$11,I82*'模板使用说明&amp;基础参数'!$E$6*'模板使用说明&amp;基础参数'!$E$10)),IF(K82="删除",I82*'模板使用说明&amp;基础参数'!$E$7*'模板使用说明&amp;基础参数'!$E$12,IF(K82="修改",I82*'模板使用说明&amp;基础参数'!$E$7*'模板使用说明&amp;基础参数'!$E$11,I82*'模板使用说明&amp;基础参数'!$E$7*'模板使用说明&amp;基础参数'!$E$10)))))</f>
        <v>1.06666666666667</v>
      </c>
      <c r="M82" s="95"/>
      <c r="N82" s="99"/>
      <c r="O82" s="100"/>
    </row>
    <row r="83" s="70" customFormat="1" ht="25" customHeight="1" spans="1:15">
      <c r="A83" s="93">
        <v>78</v>
      </c>
      <c r="B83" s="94" t="s">
        <v>72</v>
      </c>
      <c r="C83" s="95" t="s">
        <v>73</v>
      </c>
      <c r="D83" s="95" t="s">
        <v>74</v>
      </c>
      <c r="E83" s="95" t="s">
        <v>74</v>
      </c>
      <c r="F83" s="95" t="s">
        <v>240</v>
      </c>
      <c r="G83" s="95" t="s">
        <v>241</v>
      </c>
      <c r="H83" s="93" t="s">
        <v>84</v>
      </c>
      <c r="I83" s="96">
        <f>IF(H83="ILF",IF($C$1="预估功能点",'模板使用说明&amp;基础参数'!$E$15,7),IF(H83="EIF",IF($C$1="预估功能点",'模板使用说明&amp;基础参数'!$E$16,5),IF(H83="EI",IF($C$1="预估功能点",'模板使用说明&amp;基础参数'!$E$17,'模板使用说明&amp;基础参数'!$E$24),IF(H83="EO",IF($C$1="预估功能点",'模板使用说明&amp;基础参数'!$E$18,'模板使用说明&amp;基础参数'!$E$25),IF(H83="EQ",IF($C$1="预估功能点",'模板使用说明&amp;基础参数'!$E$19,'模板使用说明&amp;基础参数'!$E$26),"")))))</f>
        <v>4</v>
      </c>
      <c r="J83" s="97" t="s">
        <v>38</v>
      </c>
      <c r="K83" s="97" t="s">
        <v>78</v>
      </c>
      <c r="L83" s="98">
        <f>IF(I83="","",IF(J83="高",IF(K83="删除",I83*'模板使用说明&amp;基础参数'!$E$5*'模板使用说明&amp;基础参数'!$E$12,IF(K83="修改",I83*'模板使用说明&amp;基础参数'!$E$5*'模板使用说明&amp;基础参数'!$E$11,I83*'模板使用说明&amp;基础参数'!$E$5*'模板使用说明&amp;基础参数'!$E$10)),IF(J83="中",IF(K83="删除",I83*'模板使用说明&amp;基础参数'!$E$6*'模板使用说明&amp;基础参数'!$E$12,IF(K83="修改",I83*'模板使用说明&amp;基础参数'!$E$6*'模板使用说明&amp;基础参数'!$E$11,I83*'模板使用说明&amp;基础参数'!$E$6*'模板使用说明&amp;基础参数'!$E$10)),IF(K83="删除",I83*'模板使用说明&amp;基础参数'!$E$7*'模板使用说明&amp;基础参数'!$E$12,IF(K83="修改",I83*'模板使用说明&amp;基础参数'!$E$7*'模板使用说明&amp;基础参数'!$E$11,I83*'模板使用说明&amp;基础参数'!$E$7*'模板使用说明&amp;基础参数'!$E$10)))))</f>
        <v>1.06666666666667</v>
      </c>
      <c r="M83" s="95"/>
      <c r="N83" s="99"/>
      <c r="O83" s="100"/>
    </row>
    <row r="84" s="70" customFormat="1" ht="25" customHeight="1" spans="1:15">
      <c r="A84" s="93">
        <v>79</v>
      </c>
      <c r="B84" s="94" t="s">
        <v>72</v>
      </c>
      <c r="C84" s="95" t="s">
        <v>73</v>
      </c>
      <c r="D84" s="95" t="s">
        <v>74</v>
      </c>
      <c r="E84" s="95" t="s">
        <v>74</v>
      </c>
      <c r="F84" s="95" t="s">
        <v>242</v>
      </c>
      <c r="G84" s="95" t="s">
        <v>243</v>
      </c>
      <c r="H84" s="93" t="s">
        <v>84</v>
      </c>
      <c r="I84" s="96">
        <f>IF(H84="ILF",IF($C$1="预估功能点",'模板使用说明&amp;基础参数'!$E$15,7),IF(H84="EIF",IF($C$1="预估功能点",'模板使用说明&amp;基础参数'!$E$16,5),IF(H84="EI",IF($C$1="预估功能点",'模板使用说明&amp;基础参数'!$E$17,'模板使用说明&amp;基础参数'!$E$24),IF(H84="EO",IF($C$1="预估功能点",'模板使用说明&amp;基础参数'!$E$18,'模板使用说明&amp;基础参数'!$E$25),IF(H84="EQ",IF($C$1="预估功能点",'模板使用说明&amp;基础参数'!$E$19,'模板使用说明&amp;基础参数'!$E$26),"")))))</f>
        <v>4</v>
      </c>
      <c r="J84" s="97" t="s">
        <v>38</v>
      </c>
      <c r="K84" s="97" t="s">
        <v>78</v>
      </c>
      <c r="L84" s="98">
        <f>IF(I84="","",IF(J84="高",IF(K84="删除",I84*'模板使用说明&amp;基础参数'!$E$5*'模板使用说明&amp;基础参数'!$E$12,IF(K84="修改",I84*'模板使用说明&amp;基础参数'!$E$5*'模板使用说明&amp;基础参数'!$E$11,I84*'模板使用说明&amp;基础参数'!$E$5*'模板使用说明&amp;基础参数'!$E$10)),IF(J84="中",IF(K84="删除",I84*'模板使用说明&amp;基础参数'!$E$6*'模板使用说明&amp;基础参数'!$E$12,IF(K84="修改",I84*'模板使用说明&amp;基础参数'!$E$6*'模板使用说明&amp;基础参数'!$E$11,I84*'模板使用说明&amp;基础参数'!$E$6*'模板使用说明&amp;基础参数'!$E$10)),IF(K84="删除",I84*'模板使用说明&amp;基础参数'!$E$7*'模板使用说明&amp;基础参数'!$E$12,IF(K84="修改",I84*'模板使用说明&amp;基础参数'!$E$7*'模板使用说明&amp;基础参数'!$E$11,I84*'模板使用说明&amp;基础参数'!$E$7*'模板使用说明&amp;基础参数'!$E$10)))))</f>
        <v>1.06666666666667</v>
      </c>
      <c r="M84" s="95"/>
      <c r="N84" s="99"/>
      <c r="O84" s="100"/>
    </row>
    <row r="85" s="70" customFormat="1" ht="25" customHeight="1" spans="1:15">
      <c r="A85" s="93">
        <v>80</v>
      </c>
      <c r="B85" s="94" t="s">
        <v>72</v>
      </c>
      <c r="C85" s="95" t="s">
        <v>73</v>
      </c>
      <c r="D85" s="95" t="s">
        <v>74</v>
      </c>
      <c r="E85" s="95" t="s">
        <v>74</v>
      </c>
      <c r="F85" s="95" t="s">
        <v>244</v>
      </c>
      <c r="G85" s="95" t="s">
        <v>245</v>
      </c>
      <c r="H85" s="93" t="s">
        <v>84</v>
      </c>
      <c r="I85" s="96">
        <f>IF(H85="ILF",IF($C$1="预估功能点",'模板使用说明&amp;基础参数'!$E$15,7),IF(H85="EIF",IF($C$1="预估功能点",'模板使用说明&amp;基础参数'!$E$16,5),IF(H85="EI",IF($C$1="预估功能点",'模板使用说明&amp;基础参数'!$E$17,'模板使用说明&amp;基础参数'!$E$24),IF(H85="EO",IF($C$1="预估功能点",'模板使用说明&amp;基础参数'!$E$18,'模板使用说明&amp;基础参数'!$E$25),IF(H85="EQ",IF($C$1="预估功能点",'模板使用说明&amp;基础参数'!$E$19,'模板使用说明&amp;基础参数'!$E$26),"")))))</f>
        <v>4</v>
      </c>
      <c r="J85" s="97" t="s">
        <v>38</v>
      </c>
      <c r="K85" s="97" t="s">
        <v>78</v>
      </c>
      <c r="L85" s="98">
        <f>IF(I85="","",IF(J85="高",IF(K85="删除",I85*'模板使用说明&amp;基础参数'!$E$5*'模板使用说明&amp;基础参数'!$E$12,IF(K85="修改",I85*'模板使用说明&amp;基础参数'!$E$5*'模板使用说明&amp;基础参数'!$E$11,I85*'模板使用说明&amp;基础参数'!$E$5*'模板使用说明&amp;基础参数'!$E$10)),IF(J85="中",IF(K85="删除",I85*'模板使用说明&amp;基础参数'!$E$6*'模板使用说明&amp;基础参数'!$E$12,IF(K85="修改",I85*'模板使用说明&amp;基础参数'!$E$6*'模板使用说明&amp;基础参数'!$E$11,I85*'模板使用说明&amp;基础参数'!$E$6*'模板使用说明&amp;基础参数'!$E$10)),IF(K85="删除",I85*'模板使用说明&amp;基础参数'!$E$7*'模板使用说明&amp;基础参数'!$E$12,IF(K85="修改",I85*'模板使用说明&amp;基础参数'!$E$7*'模板使用说明&amp;基础参数'!$E$11,I85*'模板使用说明&amp;基础参数'!$E$7*'模板使用说明&amp;基础参数'!$E$10)))))</f>
        <v>1.06666666666667</v>
      </c>
      <c r="M85" s="95"/>
      <c r="N85" s="99"/>
      <c r="O85" s="100"/>
    </row>
    <row r="86" s="70" customFormat="1" ht="25" customHeight="1" spans="1:15">
      <c r="A86" s="93">
        <v>81</v>
      </c>
      <c r="B86" s="94" t="s">
        <v>72</v>
      </c>
      <c r="C86" s="95" t="s">
        <v>129</v>
      </c>
      <c r="D86" s="95" t="s">
        <v>130</v>
      </c>
      <c r="E86" s="95" t="s">
        <v>130</v>
      </c>
      <c r="F86" s="95" t="s">
        <v>246</v>
      </c>
      <c r="G86" s="95" t="s">
        <v>247</v>
      </c>
      <c r="H86" s="93" t="s">
        <v>77</v>
      </c>
      <c r="I86" s="96">
        <f>IF(H86="ILF",IF($C$1="预估功能点",'模板使用说明&amp;基础参数'!$E$15,7),IF(H86="EIF",IF($C$1="预估功能点",'模板使用说明&amp;基础参数'!$E$16,5),IF(H86="EI",IF($C$1="预估功能点",'模板使用说明&amp;基础参数'!$E$17,'模板使用说明&amp;基础参数'!$E$24),IF(H86="EO",IF($C$1="预估功能点",'模板使用说明&amp;基础参数'!$E$18,'模板使用说明&amp;基础参数'!$E$25),IF(H86="EQ",IF($C$1="预估功能点",'模板使用说明&amp;基础参数'!$E$19,'模板使用说明&amp;基础参数'!$E$26),"")))))</f>
        <v>7</v>
      </c>
      <c r="J86" s="97" t="s">
        <v>38</v>
      </c>
      <c r="K86" s="97" t="s">
        <v>78</v>
      </c>
      <c r="L86" s="98">
        <f>IF(I86="","",IF(J86="高",IF(K86="删除",I86*'模板使用说明&amp;基础参数'!$E$5*'模板使用说明&amp;基础参数'!$E$12,IF(K86="修改",I86*'模板使用说明&amp;基础参数'!$E$5*'模板使用说明&amp;基础参数'!$E$11,I86*'模板使用说明&amp;基础参数'!$E$5*'模板使用说明&amp;基础参数'!$E$10)),IF(J86="中",IF(K86="删除",I86*'模板使用说明&amp;基础参数'!$E$6*'模板使用说明&amp;基础参数'!$E$12,IF(K86="修改",I86*'模板使用说明&amp;基础参数'!$E$6*'模板使用说明&amp;基础参数'!$E$11,I86*'模板使用说明&amp;基础参数'!$E$6*'模板使用说明&amp;基础参数'!$E$10)),IF(K86="删除",I86*'模板使用说明&amp;基础参数'!$E$7*'模板使用说明&amp;基础参数'!$E$12,IF(K86="修改",I86*'模板使用说明&amp;基础参数'!$E$7*'模板使用说明&amp;基础参数'!$E$11,I86*'模板使用说明&amp;基础参数'!$E$7*'模板使用说明&amp;基础参数'!$E$10)))))</f>
        <v>1.86666666666666</v>
      </c>
      <c r="M86" s="95"/>
      <c r="N86" s="99"/>
      <c r="O86" s="100"/>
    </row>
    <row r="87" s="70" customFormat="1" ht="25" customHeight="1" spans="1:15">
      <c r="A87" s="93">
        <v>82</v>
      </c>
      <c r="B87" s="94" t="s">
        <v>72</v>
      </c>
      <c r="C87" s="95" t="s">
        <v>129</v>
      </c>
      <c r="D87" s="95" t="s">
        <v>130</v>
      </c>
      <c r="E87" s="95" t="s">
        <v>130</v>
      </c>
      <c r="F87" s="95" t="s">
        <v>248</v>
      </c>
      <c r="G87" s="95" t="s">
        <v>249</v>
      </c>
      <c r="H87" s="93" t="s">
        <v>135</v>
      </c>
      <c r="I87" s="96">
        <f>IF(H87="ILF",IF($C$1="预估功能点",'模板使用说明&amp;基础参数'!$E$15,7),IF(H87="EIF",IF($C$1="预估功能点",'模板使用说明&amp;基础参数'!$E$16,5),IF(H87="EI",IF($C$1="预估功能点",'模板使用说明&amp;基础参数'!$E$17,'模板使用说明&amp;基础参数'!$E$24),IF(H87="EO",IF($C$1="预估功能点",'模板使用说明&amp;基础参数'!$E$18,'模板使用说明&amp;基础参数'!$E$25),IF(H87="EQ",IF($C$1="预估功能点",'模板使用说明&amp;基础参数'!$E$19,'模板使用说明&amp;基础参数'!$E$26),"")))))</f>
        <v>5</v>
      </c>
      <c r="J87" s="97" t="s">
        <v>38</v>
      </c>
      <c r="K87" s="97" t="s">
        <v>78</v>
      </c>
      <c r="L87" s="98">
        <f>IF(I87="","",IF(J87="高",IF(K87="删除",I87*'模板使用说明&amp;基础参数'!$E$5*'模板使用说明&amp;基础参数'!$E$12,IF(K87="修改",I87*'模板使用说明&amp;基础参数'!$E$5*'模板使用说明&amp;基础参数'!$E$11,I87*'模板使用说明&amp;基础参数'!$E$5*'模板使用说明&amp;基础参数'!$E$10)),IF(J87="中",IF(K87="删除",I87*'模板使用说明&amp;基础参数'!$E$6*'模板使用说明&amp;基础参数'!$E$12,IF(K87="修改",I87*'模板使用说明&amp;基础参数'!$E$6*'模板使用说明&amp;基础参数'!$E$11,I87*'模板使用说明&amp;基础参数'!$E$6*'模板使用说明&amp;基础参数'!$E$10)),IF(K87="删除",I87*'模板使用说明&amp;基础参数'!$E$7*'模板使用说明&amp;基础参数'!$E$12,IF(K87="修改",I87*'模板使用说明&amp;基础参数'!$E$7*'模板使用说明&amp;基础参数'!$E$11,I87*'模板使用说明&amp;基础参数'!$E$7*'模板使用说明&amp;基础参数'!$E$10)))))</f>
        <v>1.33333333333333</v>
      </c>
      <c r="M87" s="95"/>
      <c r="N87" s="99"/>
      <c r="O87" s="100"/>
    </row>
    <row r="88" s="70" customFormat="1" ht="25" customHeight="1" spans="1:15">
      <c r="A88" s="93">
        <v>83</v>
      </c>
      <c r="B88" s="94" t="s">
        <v>72</v>
      </c>
      <c r="C88" s="95" t="s">
        <v>129</v>
      </c>
      <c r="D88" s="95" t="s">
        <v>130</v>
      </c>
      <c r="E88" s="95" t="s">
        <v>130</v>
      </c>
      <c r="F88" s="95" t="s">
        <v>250</v>
      </c>
      <c r="G88" s="95" t="s">
        <v>251</v>
      </c>
      <c r="H88" s="93" t="s">
        <v>81</v>
      </c>
      <c r="I88" s="96">
        <f>IF(H88="ILF",IF($C$1="预估功能点",'模板使用说明&amp;基础参数'!$E$15,7),IF(H88="EIF",IF($C$1="预估功能点",'模板使用说明&amp;基础参数'!$E$16,5),IF(H88="EI",IF($C$1="预估功能点",'模板使用说明&amp;基础参数'!$E$17,'模板使用说明&amp;基础参数'!$E$24),IF(H88="EO",IF($C$1="预估功能点",'模板使用说明&amp;基础参数'!$E$18,'模板使用说明&amp;基础参数'!$E$25),IF(H88="EQ",IF($C$1="预估功能点",'模板使用说明&amp;基础参数'!$E$19,'模板使用说明&amp;基础参数'!$E$26),"")))))</f>
        <v>4</v>
      </c>
      <c r="J88" s="97" t="s">
        <v>38</v>
      </c>
      <c r="K88" s="97" t="s">
        <v>78</v>
      </c>
      <c r="L88" s="98">
        <f>IF(I88="","",IF(J88="高",IF(K88="删除",I88*'模板使用说明&amp;基础参数'!$E$5*'模板使用说明&amp;基础参数'!$E$12,IF(K88="修改",I88*'模板使用说明&amp;基础参数'!$E$5*'模板使用说明&amp;基础参数'!$E$11,I88*'模板使用说明&amp;基础参数'!$E$5*'模板使用说明&amp;基础参数'!$E$10)),IF(J88="中",IF(K88="删除",I88*'模板使用说明&amp;基础参数'!$E$6*'模板使用说明&amp;基础参数'!$E$12,IF(K88="修改",I88*'模板使用说明&amp;基础参数'!$E$6*'模板使用说明&amp;基础参数'!$E$11,I88*'模板使用说明&amp;基础参数'!$E$6*'模板使用说明&amp;基础参数'!$E$10)),IF(K88="删除",I88*'模板使用说明&amp;基础参数'!$E$7*'模板使用说明&amp;基础参数'!$E$12,IF(K88="修改",I88*'模板使用说明&amp;基础参数'!$E$7*'模板使用说明&amp;基础参数'!$E$11,I88*'模板使用说明&amp;基础参数'!$E$7*'模板使用说明&amp;基础参数'!$E$10)))))</f>
        <v>1.06666666666667</v>
      </c>
      <c r="M88" s="95"/>
      <c r="N88" s="99"/>
      <c r="O88" s="100"/>
    </row>
    <row r="89" s="70" customFormat="1" ht="25" customHeight="1" spans="1:15">
      <c r="A89" s="93">
        <v>84</v>
      </c>
      <c r="B89" s="94" t="s">
        <v>72</v>
      </c>
      <c r="C89" s="95" t="s">
        <v>129</v>
      </c>
      <c r="D89" s="95" t="s">
        <v>130</v>
      </c>
      <c r="E89" s="95" t="s">
        <v>130</v>
      </c>
      <c r="F89" s="95" t="s">
        <v>252</v>
      </c>
      <c r="G89" s="95" t="s">
        <v>253</v>
      </c>
      <c r="H89" s="93" t="s">
        <v>84</v>
      </c>
      <c r="I89" s="96">
        <f>IF(H89="ILF",IF($C$1="预估功能点",'模板使用说明&amp;基础参数'!$E$15,7),IF(H89="EIF",IF($C$1="预估功能点",'模板使用说明&amp;基础参数'!$E$16,5),IF(H89="EI",IF($C$1="预估功能点",'模板使用说明&amp;基础参数'!$E$17,'模板使用说明&amp;基础参数'!$E$24),IF(H89="EO",IF($C$1="预估功能点",'模板使用说明&amp;基础参数'!$E$18,'模板使用说明&amp;基础参数'!$E$25),IF(H89="EQ",IF($C$1="预估功能点",'模板使用说明&amp;基础参数'!$E$19,'模板使用说明&amp;基础参数'!$E$26),"")))))</f>
        <v>4</v>
      </c>
      <c r="J89" s="97" t="s">
        <v>38</v>
      </c>
      <c r="K89" s="97" t="s">
        <v>78</v>
      </c>
      <c r="L89" s="98">
        <f>IF(I89="","",IF(J89="高",IF(K89="删除",I89*'模板使用说明&amp;基础参数'!$E$5*'模板使用说明&amp;基础参数'!$E$12,IF(K89="修改",I89*'模板使用说明&amp;基础参数'!$E$5*'模板使用说明&amp;基础参数'!$E$11,I89*'模板使用说明&amp;基础参数'!$E$5*'模板使用说明&amp;基础参数'!$E$10)),IF(J89="中",IF(K89="删除",I89*'模板使用说明&amp;基础参数'!$E$6*'模板使用说明&amp;基础参数'!$E$12,IF(K89="修改",I89*'模板使用说明&amp;基础参数'!$E$6*'模板使用说明&amp;基础参数'!$E$11,I89*'模板使用说明&amp;基础参数'!$E$6*'模板使用说明&amp;基础参数'!$E$10)),IF(K89="删除",I89*'模板使用说明&amp;基础参数'!$E$7*'模板使用说明&amp;基础参数'!$E$12,IF(K89="修改",I89*'模板使用说明&amp;基础参数'!$E$7*'模板使用说明&amp;基础参数'!$E$11,I89*'模板使用说明&amp;基础参数'!$E$7*'模板使用说明&amp;基础参数'!$E$10)))))</f>
        <v>1.06666666666667</v>
      </c>
      <c r="M89" s="95"/>
      <c r="N89" s="99"/>
      <c r="O89" s="100"/>
    </row>
    <row r="90" s="70" customFormat="1" ht="25" customHeight="1" spans="1:15">
      <c r="A90" s="93">
        <v>85</v>
      </c>
      <c r="B90" s="94" t="s">
        <v>72</v>
      </c>
      <c r="C90" s="95" t="s">
        <v>129</v>
      </c>
      <c r="D90" s="95" t="s">
        <v>130</v>
      </c>
      <c r="E90" s="95" t="s">
        <v>130</v>
      </c>
      <c r="F90" s="95" t="s">
        <v>254</v>
      </c>
      <c r="G90" s="95" t="s">
        <v>255</v>
      </c>
      <c r="H90" s="93" t="s">
        <v>84</v>
      </c>
      <c r="I90" s="96">
        <f>IF(H90="ILF",IF($C$1="预估功能点",'模板使用说明&amp;基础参数'!$E$15,7),IF(H90="EIF",IF($C$1="预估功能点",'模板使用说明&amp;基础参数'!$E$16,5),IF(H90="EI",IF($C$1="预估功能点",'模板使用说明&amp;基础参数'!$E$17,'模板使用说明&amp;基础参数'!$E$24),IF(H90="EO",IF($C$1="预估功能点",'模板使用说明&amp;基础参数'!$E$18,'模板使用说明&amp;基础参数'!$E$25),IF(H90="EQ",IF($C$1="预估功能点",'模板使用说明&amp;基础参数'!$E$19,'模板使用说明&amp;基础参数'!$E$26),"")))))</f>
        <v>4</v>
      </c>
      <c r="J90" s="97" t="s">
        <v>38</v>
      </c>
      <c r="K90" s="97" t="s">
        <v>78</v>
      </c>
      <c r="L90" s="98">
        <f>IF(I90="","",IF(J90="高",IF(K90="删除",I90*'模板使用说明&amp;基础参数'!$E$5*'模板使用说明&amp;基础参数'!$E$12,IF(K90="修改",I90*'模板使用说明&amp;基础参数'!$E$5*'模板使用说明&amp;基础参数'!$E$11,I90*'模板使用说明&amp;基础参数'!$E$5*'模板使用说明&amp;基础参数'!$E$10)),IF(J90="中",IF(K90="删除",I90*'模板使用说明&amp;基础参数'!$E$6*'模板使用说明&amp;基础参数'!$E$12,IF(K90="修改",I90*'模板使用说明&amp;基础参数'!$E$6*'模板使用说明&amp;基础参数'!$E$11,I90*'模板使用说明&amp;基础参数'!$E$6*'模板使用说明&amp;基础参数'!$E$10)),IF(K90="删除",I90*'模板使用说明&amp;基础参数'!$E$7*'模板使用说明&amp;基础参数'!$E$12,IF(K90="修改",I90*'模板使用说明&amp;基础参数'!$E$7*'模板使用说明&amp;基础参数'!$E$11,I90*'模板使用说明&amp;基础参数'!$E$7*'模板使用说明&amp;基础参数'!$E$10)))))</f>
        <v>1.06666666666667</v>
      </c>
      <c r="M90" s="95"/>
      <c r="N90" s="99"/>
      <c r="O90" s="100"/>
    </row>
    <row r="91" s="70" customFormat="1" ht="25" customHeight="1" spans="1:15">
      <c r="A91" s="93">
        <v>86</v>
      </c>
      <c r="B91" s="94" t="s">
        <v>72</v>
      </c>
      <c r="C91" s="95" t="s">
        <v>129</v>
      </c>
      <c r="D91" s="95" t="s">
        <v>130</v>
      </c>
      <c r="E91" s="95" t="s">
        <v>130</v>
      </c>
      <c r="F91" s="95" t="s">
        <v>256</v>
      </c>
      <c r="G91" s="95" t="s">
        <v>257</v>
      </c>
      <c r="H91" s="93" t="s">
        <v>84</v>
      </c>
      <c r="I91" s="96">
        <f>IF(H91="ILF",IF($C$1="预估功能点",'模板使用说明&amp;基础参数'!$E$15,7),IF(H91="EIF",IF($C$1="预估功能点",'模板使用说明&amp;基础参数'!$E$16,5),IF(H91="EI",IF($C$1="预估功能点",'模板使用说明&amp;基础参数'!$E$17,'模板使用说明&amp;基础参数'!$E$24),IF(H91="EO",IF($C$1="预估功能点",'模板使用说明&amp;基础参数'!$E$18,'模板使用说明&amp;基础参数'!$E$25),IF(H91="EQ",IF($C$1="预估功能点",'模板使用说明&amp;基础参数'!$E$19,'模板使用说明&amp;基础参数'!$E$26),"")))))</f>
        <v>4</v>
      </c>
      <c r="J91" s="97" t="s">
        <v>38</v>
      </c>
      <c r="K91" s="97" t="s">
        <v>78</v>
      </c>
      <c r="L91" s="98">
        <f>IF(I91="","",IF(J91="高",IF(K91="删除",I91*'模板使用说明&amp;基础参数'!$E$5*'模板使用说明&amp;基础参数'!$E$12,IF(K91="修改",I91*'模板使用说明&amp;基础参数'!$E$5*'模板使用说明&amp;基础参数'!$E$11,I91*'模板使用说明&amp;基础参数'!$E$5*'模板使用说明&amp;基础参数'!$E$10)),IF(J91="中",IF(K91="删除",I91*'模板使用说明&amp;基础参数'!$E$6*'模板使用说明&amp;基础参数'!$E$12,IF(K91="修改",I91*'模板使用说明&amp;基础参数'!$E$6*'模板使用说明&amp;基础参数'!$E$11,I91*'模板使用说明&amp;基础参数'!$E$6*'模板使用说明&amp;基础参数'!$E$10)),IF(K91="删除",I91*'模板使用说明&amp;基础参数'!$E$7*'模板使用说明&amp;基础参数'!$E$12,IF(K91="修改",I91*'模板使用说明&amp;基础参数'!$E$7*'模板使用说明&amp;基础参数'!$E$11,I91*'模板使用说明&amp;基础参数'!$E$7*'模板使用说明&amp;基础参数'!$E$10)))))</f>
        <v>1.06666666666667</v>
      </c>
      <c r="M91" s="95"/>
      <c r="N91" s="99"/>
      <c r="O91" s="100"/>
    </row>
    <row r="92" s="70" customFormat="1" ht="25" customHeight="1" spans="1:15">
      <c r="A92" s="93">
        <v>87</v>
      </c>
      <c r="B92" s="94" t="s">
        <v>72</v>
      </c>
      <c r="C92" s="95" t="s">
        <v>144</v>
      </c>
      <c r="D92" s="95" t="s">
        <v>145</v>
      </c>
      <c r="E92" s="95" t="s">
        <v>145</v>
      </c>
      <c r="F92" s="95" t="s">
        <v>258</v>
      </c>
      <c r="G92" s="95" t="s">
        <v>259</v>
      </c>
      <c r="H92" s="93" t="s">
        <v>77</v>
      </c>
      <c r="I92" s="96">
        <f>IF(H92="ILF",IF($C$1="预估功能点",'模板使用说明&amp;基础参数'!$E$15,7),IF(H92="EIF",IF($C$1="预估功能点",'模板使用说明&amp;基础参数'!$E$16,5),IF(H92="EI",IF($C$1="预估功能点",'模板使用说明&amp;基础参数'!$E$17,'模板使用说明&amp;基础参数'!$E$24),IF(H92="EO",IF($C$1="预估功能点",'模板使用说明&amp;基础参数'!$E$18,'模板使用说明&amp;基础参数'!$E$25),IF(H92="EQ",IF($C$1="预估功能点",'模板使用说明&amp;基础参数'!$E$19,'模板使用说明&amp;基础参数'!$E$26),"")))))</f>
        <v>7</v>
      </c>
      <c r="J92" s="97" t="s">
        <v>38</v>
      </c>
      <c r="K92" s="97" t="s">
        <v>78</v>
      </c>
      <c r="L92" s="98">
        <f>IF(I92="","",IF(J92="高",IF(K92="删除",I92*'模板使用说明&amp;基础参数'!$E$5*'模板使用说明&amp;基础参数'!$E$12,IF(K92="修改",I92*'模板使用说明&amp;基础参数'!$E$5*'模板使用说明&amp;基础参数'!$E$11,I92*'模板使用说明&amp;基础参数'!$E$5*'模板使用说明&amp;基础参数'!$E$10)),IF(J92="中",IF(K92="删除",I92*'模板使用说明&amp;基础参数'!$E$6*'模板使用说明&amp;基础参数'!$E$12,IF(K92="修改",I92*'模板使用说明&amp;基础参数'!$E$6*'模板使用说明&amp;基础参数'!$E$11,I92*'模板使用说明&amp;基础参数'!$E$6*'模板使用说明&amp;基础参数'!$E$10)),IF(K92="删除",I92*'模板使用说明&amp;基础参数'!$E$7*'模板使用说明&amp;基础参数'!$E$12,IF(K92="修改",I92*'模板使用说明&amp;基础参数'!$E$7*'模板使用说明&amp;基础参数'!$E$11,I92*'模板使用说明&amp;基础参数'!$E$7*'模板使用说明&amp;基础参数'!$E$10)))))</f>
        <v>1.86666666666666</v>
      </c>
      <c r="M92" s="95"/>
      <c r="N92" s="99"/>
      <c r="O92" s="100"/>
    </row>
    <row r="93" s="70" customFormat="1" ht="25" customHeight="1" spans="1:15">
      <c r="A93" s="93">
        <v>88</v>
      </c>
      <c r="B93" s="94" t="s">
        <v>72</v>
      </c>
      <c r="C93" s="95" t="s">
        <v>144</v>
      </c>
      <c r="D93" s="95" t="s">
        <v>145</v>
      </c>
      <c r="E93" s="95" t="s">
        <v>145</v>
      </c>
      <c r="F93" s="95" t="s">
        <v>260</v>
      </c>
      <c r="G93" s="95" t="s">
        <v>261</v>
      </c>
      <c r="H93" s="93" t="s">
        <v>81</v>
      </c>
      <c r="I93" s="96">
        <f>IF(H93="ILF",IF($C$1="预估功能点",'模板使用说明&amp;基础参数'!$E$15,7),IF(H93="EIF",IF($C$1="预估功能点",'模板使用说明&amp;基础参数'!$E$16,5),IF(H93="EI",IF($C$1="预估功能点",'模板使用说明&amp;基础参数'!$E$17,'模板使用说明&amp;基础参数'!$E$24),IF(H93="EO",IF($C$1="预估功能点",'模板使用说明&amp;基础参数'!$E$18,'模板使用说明&amp;基础参数'!$E$25),IF(H93="EQ",IF($C$1="预估功能点",'模板使用说明&amp;基础参数'!$E$19,'模板使用说明&amp;基础参数'!$E$26),"")))))</f>
        <v>4</v>
      </c>
      <c r="J93" s="97" t="s">
        <v>38</v>
      </c>
      <c r="K93" s="97" t="s">
        <v>78</v>
      </c>
      <c r="L93" s="98">
        <f>IF(I93="","",IF(J93="高",IF(K93="删除",I93*'模板使用说明&amp;基础参数'!$E$5*'模板使用说明&amp;基础参数'!$E$12,IF(K93="修改",I93*'模板使用说明&amp;基础参数'!$E$5*'模板使用说明&amp;基础参数'!$E$11,I93*'模板使用说明&amp;基础参数'!$E$5*'模板使用说明&amp;基础参数'!$E$10)),IF(J93="中",IF(K93="删除",I93*'模板使用说明&amp;基础参数'!$E$6*'模板使用说明&amp;基础参数'!$E$12,IF(K93="修改",I93*'模板使用说明&amp;基础参数'!$E$6*'模板使用说明&amp;基础参数'!$E$11,I93*'模板使用说明&amp;基础参数'!$E$6*'模板使用说明&amp;基础参数'!$E$10)),IF(K93="删除",I93*'模板使用说明&amp;基础参数'!$E$7*'模板使用说明&amp;基础参数'!$E$12,IF(K93="修改",I93*'模板使用说明&amp;基础参数'!$E$7*'模板使用说明&amp;基础参数'!$E$11,I93*'模板使用说明&amp;基础参数'!$E$7*'模板使用说明&amp;基础参数'!$E$10)))))</f>
        <v>1.06666666666667</v>
      </c>
      <c r="M93" s="95"/>
      <c r="N93" s="99"/>
      <c r="O93" s="100"/>
    </row>
    <row r="94" s="70" customFormat="1" ht="25" customHeight="1" spans="1:15">
      <c r="A94" s="93">
        <v>89</v>
      </c>
      <c r="B94" s="94" t="s">
        <v>72</v>
      </c>
      <c r="C94" s="95" t="s">
        <v>144</v>
      </c>
      <c r="D94" s="95" t="s">
        <v>145</v>
      </c>
      <c r="E94" s="95" t="s">
        <v>145</v>
      </c>
      <c r="F94" s="95" t="s">
        <v>262</v>
      </c>
      <c r="G94" s="95" t="s">
        <v>263</v>
      </c>
      <c r="H94" s="93" t="s">
        <v>84</v>
      </c>
      <c r="I94" s="96">
        <f>IF(H94="ILF",IF($C$1="预估功能点",'模板使用说明&amp;基础参数'!$E$15,7),IF(H94="EIF",IF($C$1="预估功能点",'模板使用说明&amp;基础参数'!$E$16,5),IF(H94="EI",IF($C$1="预估功能点",'模板使用说明&amp;基础参数'!$E$17,'模板使用说明&amp;基础参数'!$E$24),IF(H94="EO",IF($C$1="预估功能点",'模板使用说明&amp;基础参数'!$E$18,'模板使用说明&amp;基础参数'!$E$25),IF(H94="EQ",IF($C$1="预估功能点",'模板使用说明&amp;基础参数'!$E$19,'模板使用说明&amp;基础参数'!$E$26),"")))))</f>
        <v>4</v>
      </c>
      <c r="J94" s="97" t="s">
        <v>38</v>
      </c>
      <c r="K94" s="97" t="s">
        <v>78</v>
      </c>
      <c r="L94" s="98">
        <f>IF(I94="","",IF(J94="高",IF(K94="删除",I94*'模板使用说明&amp;基础参数'!$E$5*'模板使用说明&amp;基础参数'!$E$12,IF(K94="修改",I94*'模板使用说明&amp;基础参数'!$E$5*'模板使用说明&amp;基础参数'!$E$11,I94*'模板使用说明&amp;基础参数'!$E$5*'模板使用说明&amp;基础参数'!$E$10)),IF(J94="中",IF(K94="删除",I94*'模板使用说明&amp;基础参数'!$E$6*'模板使用说明&amp;基础参数'!$E$12,IF(K94="修改",I94*'模板使用说明&amp;基础参数'!$E$6*'模板使用说明&amp;基础参数'!$E$11,I94*'模板使用说明&amp;基础参数'!$E$6*'模板使用说明&amp;基础参数'!$E$10)),IF(K94="删除",I94*'模板使用说明&amp;基础参数'!$E$7*'模板使用说明&amp;基础参数'!$E$12,IF(K94="修改",I94*'模板使用说明&amp;基础参数'!$E$7*'模板使用说明&amp;基础参数'!$E$11,I94*'模板使用说明&amp;基础参数'!$E$7*'模板使用说明&amp;基础参数'!$E$10)))))</f>
        <v>1.06666666666667</v>
      </c>
      <c r="M94" s="95"/>
      <c r="N94" s="99"/>
      <c r="O94" s="100"/>
    </row>
    <row r="95" s="70" customFormat="1" ht="25" customHeight="1" spans="1:15">
      <c r="A95" s="93">
        <v>90</v>
      </c>
      <c r="B95" s="94" t="s">
        <v>72</v>
      </c>
      <c r="C95" s="95" t="s">
        <v>144</v>
      </c>
      <c r="D95" s="95" t="s">
        <v>145</v>
      </c>
      <c r="E95" s="95" t="s">
        <v>145</v>
      </c>
      <c r="F95" s="95" t="s">
        <v>264</v>
      </c>
      <c r="G95" s="95" t="s">
        <v>265</v>
      </c>
      <c r="H95" s="93" t="s">
        <v>84</v>
      </c>
      <c r="I95" s="96">
        <f>IF(H95="ILF",IF($C$1="预估功能点",'模板使用说明&amp;基础参数'!$E$15,7),IF(H95="EIF",IF($C$1="预估功能点",'模板使用说明&amp;基础参数'!$E$16,5),IF(H95="EI",IF($C$1="预估功能点",'模板使用说明&amp;基础参数'!$E$17,'模板使用说明&amp;基础参数'!$E$24),IF(H95="EO",IF($C$1="预估功能点",'模板使用说明&amp;基础参数'!$E$18,'模板使用说明&amp;基础参数'!$E$25),IF(H95="EQ",IF($C$1="预估功能点",'模板使用说明&amp;基础参数'!$E$19,'模板使用说明&amp;基础参数'!$E$26),"")))))</f>
        <v>4</v>
      </c>
      <c r="J95" s="97" t="s">
        <v>38</v>
      </c>
      <c r="K95" s="97" t="s">
        <v>78</v>
      </c>
      <c r="L95" s="98">
        <f>IF(I95="","",IF(J95="高",IF(K95="删除",I95*'模板使用说明&amp;基础参数'!$E$5*'模板使用说明&amp;基础参数'!$E$12,IF(K95="修改",I95*'模板使用说明&amp;基础参数'!$E$5*'模板使用说明&amp;基础参数'!$E$11,I95*'模板使用说明&amp;基础参数'!$E$5*'模板使用说明&amp;基础参数'!$E$10)),IF(J95="中",IF(K95="删除",I95*'模板使用说明&amp;基础参数'!$E$6*'模板使用说明&amp;基础参数'!$E$12,IF(K95="修改",I95*'模板使用说明&amp;基础参数'!$E$6*'模板使用说明&amp;基础参数'!$E$11,I95*'模板使用说明&amp;基础参数'!$E$6*'模板使用说明&amp;基础参数'!$E$10)),IF(K95="删除",I95*'模板使用说明&amp;基础参数'!$E$7*'模板使用说明&amp;基础参数'!$E$12,IF(K95="修改",I95*'模板使用说明&amp;基础参数'!$E$7*'模板使用说明&amp;基础参数'!$E$11,I95*'模板使用说明&amp;基础参数'!$E$7*'模板使用说明&amp;基础参数'!$E$10)))))</f>
        <v>1.06666666666667</v>
      </c>
      <c r="M95" s="95"/>
      <c r="N95" s="99"/>
      <c r="O95" s="100"/>
    </row>
    <row r="96" s="70" customFormat="1" ht="25" customHeight="1" spans="1:15">
      <c r="A96" s="93">
        <v>91</v>
      </c>
      <c r="B96" s="94" t="s">
        <v>72</v>
      </c>
      <c r="C96" s="95" t="s">
        <v>154</v>
      </c>
      <c r="D96" s="95" t="s">
        <v>155</v>
      </c>
      <c r="E96" s="95" t="s">
        <v>155</v>
      </c>
      <c r="F96" s="95" t="s">
        <v>266</v>
      </c>
      <c r="G96" s="95" t="s">
        <v>267</v>
      </c>
      <c r="H96" s="93" t="s">
        <v>77</v>
      </c>
      <c r="I96" s="96">
        <f>IF(H96="ILF",IF($C$1="预估功能点",'模板使用说明&amp;基础参数'!$E$15,7),IF(H96="EIF",IF($C$1="预估功能点",'模板使用说明&amp;基础参数'!$E$16,5),IF(H96="EI",IF($C$1="预估功能点",'模板使用说明&amp;基础参数'!$E$17,'模板使用说明&amp;基础参数'!$E$24),IF(H96="EO",IF($C$1="预估功能点",'模板使用说明&amp;基础参数'!$E$18,'模板使用说明&amp;基础参数'!$E$25),IF(H96="EQ",IF($C$1="预估功能点",'模板使用说明&amp;基础参数'!$E$19,'模板使用说明&amp;基础参数'!$E$26),"")))))</f>
        <v>7</v>
      </c>
      <c r="J96" s="97" t="s">
        <v>38</v>
      </c>
      <c r="K96" s="97" t="s">
        <v>78</v>
      </c>
      <c r="L96" s="98">
        <f>IF(I96="","",IF(J96="高",IF(K96="删除",I96*'模板使用说明&amp;基础参数'!$E$5*'模板使用说明&amp;基础参数'!$E$12,IF(K96="修改",I96*'模板使用说明&amp;基础参数'!$E$5*'模板使用说明&amp;基础参数'!$E$11,I96*'模板使用说明&amp;基础参数'!$E$5*'模板使用说明&amp;基础参数'!$E$10)),IF(J96="中",IF(K96="删除",I96*'模板使用说明&amp;基础参数'!$E$6*'模板使用说明&amp;基础参数'!$E$12,IF(K96="修改",I96*'模板使用说明&amp;基础参数'!$E$6*'模板使用说明&amp;基础参数'!$E$11,I96*'模板使用说明&amp;基础参数'!$E$6*'模板使用说明&amp;基础参数'!$E$10)),IF(K96="删除",I96*'模板使用说明&amp;基础参数'!$E$7*'模板使用说明&amp;基础参数'!$E$12,IF(K96="修改",I96*'模板使用说明&amp;基础参数'!$E$7*'模板使用说明&amp;基础参数'!$E$11,I96*'模板使用说明&amp;基础参数'!$E$7*'模板使用说明&amp;基础参数'!$E$10)))))</f>
        <v>1.86666666666666</v>
      </c>
      <c r="M96" s="95"/>
      <c r="N96" s="99"/>
      <c r="O96" s="100"/>
    </row>
    <row r="97" s="70" customFormat="1" ht="25" customHeight="1" spans="1:15">
      <c r="A97" s="93">
        <v>92</v>
      </c>
      <c r="B97" s="94" t="s">
        <v>72</v>
      </c>
      <c r="C97" s="95" t="s">
        <v>154</v>
      </c>
      <c r="D97" s="95" t="s">
        <v>155</v>
      </c>
      <c r="E97" s="95" t="s">
        <v>155</v>
      </c>
      <c r="F97" s="95" t="s">
        <v>268</v>
      </c>
      <c r="G97" s="95" t="s">
        <v>269</v>
      </c>
      <c r="H97" s="93" t="s">
        <v>81</v>
      </c>
      <c r="I97" s="96">
        <f>IF(H97="ILF",IF($C$1="预估功能点",'模板使用说明&amp;基础参数'!$E$15,7),IF(H97="EIF",IF($C$1="预估功能点",'模板使用说明&amp;基础参数'!$E$16,5),IF(H97="EI",IF($C$1="预估功能点",'模板使用说明&amp;基础参数'!$E$17,'模板使用说明&amp;基础参数'!$E$24),IF(H97="EO",IF($C$1="预估功能点",'模板使用说明&amp;基础参数'!$E$18,'模板使用说明&amp;基础参数'!$E$25),IF(H97="EQ",IF($C$1="预估功能点",'模板使用说明&amp;基础参数'!$E$19,'模板使用说明&amp;基础参数'!$E$26),"")))))</f>
        <v>4</v>
      </c>
      <c r="J97" s="97" t="s">
        <v>38</v>
      </c>
      <c r="K97" s="97" t="s">
        <v>78</v>
      </c>
      <c r="L97" s="98">
        <f>IF(I97="","",IF(J97="高",IF(K97="删除",I97*'模板使用说明&amp;基础参数'!$E$5*'模板使用说明&amp;基础参数'!$E$12,IF(K97="修改",I97*'模板使用说明&amp;基础参数'!$E$5*'模板使用说明&amp;基础参数'!$E$11,I97*'模板使用说明&amp;基础参数'!$E$5*'模板使用说明&amp;基础参数'!$E$10)),IF(J97="中",IF(K97="删除",I97*'模板使用说明&amp;基础参数'!$E$6*'模板使用说明&amp;基础参数'!$E$12,IF(K97="修改",I97*'模板使用说明&amp;基础参数'!$E$6*'模板使用说明&amp;基础参数'!$E$11,I97*'模板使用说明&amp;基础参数'!$E$6*'模板使用说明&amp;基础参数'!$E$10)),IF(K97="删除",I97*'模板使用说明&amp;基础参数'!$E$7*'模板使用说明&amp;基础参数'!$E$12,IF(K97="修改",I97*'模板使用说明&amp;基础参数'!$E$7*'模板使用说明&amp;基础参数'!$E$11,I97*'模板使用说明&amp;基础参数'!$E$7*'模板使用说明&amp;基础参数'!$E$10)))))</f>
        <v>1.06666666666667</v>
      </c>
      <c r="M97" s="95"/>
      <c r="N97" s="99"/>
      <c r="O97" s="100"/>
    </row>
    <row r="98" s="70" customFormat="1" ht="25" customHeight="1" spans="1:15">
      <c r="A98" s="93">
        <v>93</v>
      </c>
      <c r="B98" s="94" t="s">
        <v>72</v>
      </c>
      <c r="C98" s="95" t="s">
        <v>154</v>
      </c>
      <c r="D98" s="95" t="s">
        <v>155</v>
      </c>
      <c r="E98" s="95" t="s">
        <v>155</v>
      </c>
      <c r="F98" s="95" t="s">
        <v>270</v>
      </c>
      <c r="G98" s="95" t="s">
        <v>271</v>
      </c>
      <c r="H98" s="93" t="s">
        <v>84</v>
      </c>
      <c r="I98" s="96">
        <f>IF(H98="ILF",IF($C$1="预估功能点",'模板使用说明&amp;基础参数'!$E$15,7),IF(H98="EIF",IF($C$1="预估功能点",'模板使用说明&amp;基础参数'!$E$16,5),IF(H98="EI",IF($C$1="预估功能点",'模板使用说明&amp;基础参数'!$E$17,'模板使用说明&amp;基础参数'!$E$24),IF(H98="EO",IF($C$1="预估功能点",'模板使用说明&amp;基础参数'!$E$18,'模板使用说明&amp;基础参数'!$E$25),IF(H98="EQ",IF($C$1="预估功能点",'模板使用说明&amp;基础参数'!$E$19,'模板使用说明&amp;基础参数'!$E$26),"")))))</f>
        <v>4</v>
      </c>
      <c r="J98" s="97" t="s">
        <v>38</v>
      </c>
      <c r="K98" s="97" t="s">
        <v>78</v>
      </c>
      <c r="L98" s="98">
        <f>IF(I98="","",IF(J98="高",IF(K98="删除",I98*'模板使用说明&amp;基础参数'!$E$5*'模板使用说明&amp;基础参数'!$E$12,IF(K98="修改",I98*'模板使用说明&amp;基础参数'!$E$5*'模板使用说明&amp;基础参数'!$E$11,I98*'模板使用说明&amp;基础参数'!$E$5*'模板使用说明&amp;基础参数'!$E$10)),IF(J98="中",IF(K98="删除",I98*'模板使用说明&amp;基础参数'!$E$6*'模板使用说明&amp;基础参数'!$E$12,IF(K98="修改",I98*'模板使用说明&amp;基础参数'!$E$6*'模板使用说明&amp;基础参数'!$E$11,I98*'模板使用说明&amp;基础参数'!$E$6*'模板使用说明&amp;基础参数'!$E$10)),IF(K98="删除",I98*'模板使用说明&amp;基础参数'!$E$7*'模板使用说明&amp;基础参数'!$E$12,IF(K98="修改",I98*'模板使用说明&amp;基础参数'!$E$7*'模板使用说明&amp;基础参数'!$E$11,I98*'模板使用说明&amp;基础参数'!$E$7*'模板使用说明&amp;基础参数'!$E$10)))))</f>
        <v>1.06666666666667</v>
      </c>
      <c r="M98" s="95"/>
      <c r="N98" s="99"/>
      <c r="O98" s="100"/>
    </row>
    <row r="99" s="70" customFormat="1" ht="25" customHeight="1" spans="1:15">
      <c r="A99" s="93">
        <v>94</v>
      </c>
      <c r="B99" s="94" t="s">
        <v>72</v>
      </c>
      <c r="C99" s="95" t="s">
        <v>154</v>
      </c>
      <c r="D99" s="95" t="s">
        <v>155</v>
      </c>
      <c r="E99" s="95" t="s">
        <v>155</v>
      </c>
      <c r="F99" s="95" t="s">
        <v>272</v>
      </c>
      <c r="G99" s="95" t="s">
        <v>273</v>
      </c>
      <c r="H99" s="93" t="s">
        <v>84</v>
      </c>
      <c r="I99" s="96">
        <f>IF(H99="ILF",IF($C$1="预估功能点",'模板使用说明&amp;基础参数'!$E$15,7),IF(H99="EIF",IF($C$1="预估功能点",'模板使用说明&amp;基础参数'!$E$16,5),IF(H99="EI",IF($C$1="预估功能点",'模板使用说明&amp;基础参数'!$E$17,'模板使用说明&amp;基础参数'!$E$24),IF(H99="EO",IF($C$1="预估功能点",'模板使用说明&amp;基础参数'!$E$18,'模板使用说明&amp;基础参数'!$E$25),IF(H99="EQ",IF($C$1="预估功能点",'模板使用说明&amp;基础参数'!$E$19,'模板使用说明&amp;基础参数'!$E$26),"")))))</f>
        <v>4</v>
      </c>
      <c r="J99" s="97" t="s">
        <v>38</v>
      </c>
      <c r="K99" s="97" t="s">
        <v>78</v>
      </c>
      <c r="L99" s="98">
        <f>IF(I99="","",IF(J99="高",IF(K99="删除",I99*'模板使用说明&amp;基础参数'!$E$5*'模板使用说明&amp;基础参数'!$E$12,IF(K99="修改",I99*'模板使用说明&amp;基础参数'!$E$5*'模板使用说明&amp;基础参数'!$E$11,I99*'模板使用说明&amp;基础参数'!$E$5*'模板使用说明&amp;基础参数'!$E$10)),IF(J99="中",IF(K99="删除",I99*'模板使用说明&amp;基础参数'!$E$6*'模板使用说明&amp;基础参数'!$E$12,IF(K99="修改",I99*'模板使用说明&amp;基础参数'!$E$6*'模板使用说明&amp;基础参数'!$E$11,I99*'模板使用说明&amp;基础参数'!$E$6*'模板使用说明&amp;基础参数'!$E$10)),IF(K99="删除",I99*'模板使用说明&amp;基础参数'!$E$7*'模板使用说明&amp;基础参数'!$E$12,IF(K99="修改",I99*'模板使用说明&amp;基础参数'!$E$7*'模板使用说明&amp;基础参数'!$E$11,I99*'模板使用说明&amp;基础参数'!$E$7*'模板使用说明&amp;基础参数'!$E$10)))))</f>
        <v>1.06666666666667</v>
      </c>
      <c r="M99" s="95"/>
      <c r="N99" s="99"/>
      <c r="O99" s="100"/>
    </row>
    <row r="100" s="70" customFormat="1" ht="25" customHeight="1" spans="1:15">
      <c r="A100" s="93">
        <v>95</v>
      </c>
      <c r="B100" s="94" t="s">
        <v>72</v>
      </c>
      <c r="C100" s="95" t="s">
        <v>154</v>
      </c>
      <c r="D100" s="95" t="s">
        <v>155</v>
      </c>
      <c r="E100" s="95" t="s">
        <v>155</v>
      </c>
      <c r="F100" s="95" t="s">
        <v>274</v>
      </c>
      <c r="G100" s="95" t="s">
        <v>275</v>
      </c>
      <c r="H100" s="93" t="s">
        <v>84</v>
      </c>
      <c r="I100" s="96">
        <f>IF(H100="ILF",IF($C$1="预估功能点",'模板使用说明&amp;基础参数'!$E$15,7),IF(H100="EIF",IF($C$1="预估功能点",'模板使用说明&amp;基础参数'!$E$16,5),IF(H100="EI",IF($C$1="预估功能点",'模板使用说明&amp;基础参数'!$E$17,'模板使用说明&amp;基础参数'!$E$24),IF(H100="EO",IF($C$1="预估功能点",'模板使用说明&amp;基础参数'!$E$18,'模板使用说明&amp;基础参数'!$E$25),IF(H100="EQ",IF($C$1="预估功能点",'模板使用说明&amp;基础参数'!$E$19,'模板使用说明&amp;基础参数'!$E$26),"")))))</f>
        <v>4</v>
      </c>
      <c r="J100" s="97" t="s">
        <v>38</v>
      </c>
      <c r="K100" s="97" t="s">
        <v>78</v>
      </c>
      <c r="L100" s="98">
        <f>IF(I100="","",IF(J100="高",IF(K100="删除",I100*'模板使用说明&amp;基础参数'!$E$5*'模板使用说明&amp;基础参数'!$E$12,IF(K100="修改",I100*'模板使用说明&amp;基础参数'!$E$5*'模板使用说明&amp;基础参数'!$E$11,I100*'模板使用说明&amp;基础参数'!$E$5*'模板使用说明&amp;基础参数'!$E$10)),IF(J100="中",IF(K100="删除",I100*'模板使用说明&amp;基础参数'!$E$6*'模板使用说明&amp;基础参数'!$E$12,IF(K100="修改",I100*'模板使用说明&amp;基础参数'!$E$6*'模板使用说明&amp;基础参数'!$E$11,I100*'模板使用说明&amp;基础参数'!$E$6*'模板使用说明&amp;基础参数'!$E$10)),IF(K100="删除",I100*'模板使用说明&amp;基础参数'!$E$7*'模板使用说明&amp;基础参数'!$E$12,IF(K100="修改",I100*'模板使用说明&amp;基础参数'!$E$7*'模板使用说明&amp;基础参数'!$E$11,I100*'模板使用说明&amp;基础参数'!$E$7*'模板使用说明&amp;基础参数'!$E$10)))))</f>
        <v>1.06666666666667</v>
      </c>
      <c r="M100" s="95"/>
      <c r="N100" s="99"/>
      <c r="O100" s="100"/>
    </row>
    <row r="101" s="70" customFormat="1" ht="25" customHeight="1" spans="1:15">
      <c r="A101" s="93">
        <v>96</v>
      </c>
      <c r="B101" s="94" t="s">
        <v>72</v>
      </c>
      <c r="C101" s="95" t="s">
        <v>276</v>
      </c>
      <c r="D101" s="95" t="s">
        <v>277</v>
      </c>
      <c r="E101" s="95" t="s">
        <v>277</v>
      </c>
      <c r="F101" s="95" t="s">
        <v>278</v>
      </c>
      <c r="G101" s="95" t="s">
        <v>279</v>
      </c>
      <c r="H101" s="93" t="s">
        <v>77</v>
      </c>
      <c r="I101" s="96">
        <f>IF(H101="ILF",IF($C$1="预估功能点",'模板使用说明&amp;基础参数'!$E$15,7),IF(H101="EIF",IF($C$1="预估功能点",'模板使用说明&amp;基础参数'!$E$16,5),IF(H101="EI",IF($C$1="预估功能点",'模板使用说明&amp;基础参数'!$E$17,'模板使用说明&amp;基础参数'!$E$24),IF(H101="EO",IF($C$1="预估功能点",'模板使用说明&amp;基础参数'!$E$18,'模板使用说明&amp;基础参数'!$E$25),IF(H101="EQ",IF($C$1="预估功能点",'模板使用说明&amp;基础参数'!$E$19,'模板使用说明&amp;基础参数'!$E$26),"")))))</f>
        <v>7</v>
      </c>
      <c r="J101" s="97" t="s">
        <v>38</v>
      </c>
      <c r="K101" s="97" t="s">
        <v>78</v>
      </c>
      <c r="L101" s="98">
        <f>IF(I101="","",IF(J101="高",IF(K101="删除",I101*'模板使用说明&amp;基础参数'!$E$5*'模板使用说明&amp;基础参数'!$E$12,IF(K101="修改",I101*'模板使用说明&amp;基础参数'!$E$5*'模板使用说明&amp;基础参数'!$E$11,I101*'模板使用说明&amp;基础参数'!$E$5*'模板使用说明&amp;基础参数'!$E$10)),IF(J101="中",IF(K101="删除",I101*'模板使用说明&amp;基础参数'!$E$6*'模板使用说明&amp;基础参数'!$E$12,IF(K101="修改",I101*'模板使用说明&amp;基础参数'!$E$6*'模板使用说明&amp;基础参数'!$E$11,I101*'模板使用说明&amp;基础参数'!$E$6*'模板使用说明&amp;基础参数'!$E$10)),IF(K101="删除",I101*'模板使用说明&amp;基础参数'!$E$7*'模板使用说明&amp;基础参数'!$E$12,IF(K101="修改",I101*'模板使用说明&amp;基础参数'!$E$7*'模板使用说明&amp;基础参数'!$E$11,I101*'模板使用说明&amp;基础参数'!$E$7*'模板使用说明&amp;基础参数'!$E$10)))))</f>
        <v>1.86666666666666</v>
      </c>
      <c r="M101" s="95"/>
      <c r="N101" s="99"/>
      <c r="O101" s="100"/>
    </row>
    <row r="102" s="70" customFormat="1" ht="25" customHeight="1" spans="1:15">
      <c r="A102" s="93">
        <v>97</v>
      </c>
      <c r="B102" s="94" t="s">
        <v>72</v>
      </c>
      <c r="C102" s="95" t="s">
        <v>276</v>
      </c>
      <c r="D102" s="95" t="s">
        <v>277</v>
      </c>
      <c r="E102" s="95" t="s">
        <v>277</v>
      </c>
      <c r="F102" s="95" t="s">
        <v>280</v>
      </c>
      <c r="G102" s="95" t="s">
        <v>281</v>
      </c>
      <c r="H102" s="93" t="s">
        <v>81</v>
      </c>
      <c r="I102" s="96">
        <f>IF(H102="ILF",IF($C$1="预估功能点",'模板使用说明&amp;基础参数'!$E$15,7),IF(H102="EIF",IF($C$1="预估功能点",'模板使用说明&amp;基础参数'!$E$16,5),IF(H102="EI",IF($C$1="预估功能点",'模板使用说明&amp;基础参数'!$E$17,'模板使用说明&amp;基础参数'!$E$24),IF(H102="EO",IF($C$1="预估功能点",'模板使用说明&amp;基础参数'!$E$18,'模板使用说明&amp;基础参数'!$E$25),IF(H102="EQ",IF($C$1="预估功能点",'模板使用说明&amp;基础参数'!$E$19,'模板使用说明&amp;基础参数'!$E$26),"")))))</f>
        <v>4</v>
      </c>
      <c r="J102" s="97" t="s">
        <v>38</v>
      </c>
      <c r="K102" s="97" t="s">
        <v>78</v>
      </c>
      <c r="L102" s="98">
        <f>IF(I102="","",IF(J102="高",IF(K102="删除",I102*'模板使用说明&amp;基础参数'!$E$5*'模板使用说明&amp;基础参数'!$E$12,IF(K102="修改",I102*'模板使用说明&amp;基础参数'!$E$5*'模板使用说明&amp;基础参数'!$E$11,I102*'模板使用说明&amp;基础参数'!$E$5*'模板使用说明&amp;基础参数'!$E$10)),IF(J102="中",IF(K102="删除",I102*'模板使用说明&amp;基础参数'!$E$6*'模板使用说明&amp;基础参数'!$E$12,IF(K102="修改",I102*'模板使用说明&amp;基础参数'!$E$6*'模板使用说明&amp;基础参数'!$E$11,I102*'模板使用说明&amp;基础参数'!$E$6*'模板使用说明&amp;基础参数'!$E$10)),IF(K102="删除",I102*'模板使用说明&amp;基础参数'!$E$7*'模板使用说明&amp;基础参数'!$E$12,IF(K102="修改",I102*'模板使用说明&amp;基础参数'!$E$7*'模板使用说明&amp;基础参数'!$E$11,I102*'模板使用说明&amp;基础参数'!$E$7*'模板使用说明&amp;基础参数'!$E$10)))))</f>
        <v>1.06666666666667</v>
      </c>
      <c r="M102" s="95"/>
      <c r="N102" s="99"/>
      <c r="O102" s="100"/>
    </row>
    <row r="103" s="70" customFormat="1" ht="25" customHeight="1" spans="1:15">
      <c r="A103" s="93">
        <v>98</v>
      </c>
      <c r="B103" s="94" t="s">
        <v>72</v>
      </c>
      <c r="C103" s="95" t="s">
        <v>276</v>
      </c>
      <c r="D103" s="95" t="s">
        <v>277</v>
      </c>
      <c r="E103" s="95" t="s">
        <v>277</v>
      </c>
      <c r="F103" s="95" t="s">
        <v>282</v>
      </c>
      <c r="G103" s="95" t="s">
        <v>283</v>
      </c>
      <c r="H103" s="93" t="s">
        <v>84</v>
      </c>
      <c r="I103" s="96">
        <f>IF(H103="ILF",IF($C$1="预估功能点",'模板使用说明&amp;基础参数'!$E$15,7),IF(H103="EIF",IF($C$1="预估功能点",'模板使用说明&amp;基础参数'!$E$16,5),IF(H103="EI",IF($C$1="预估功能点",'模板使用说明&amp;基础参数'!$E$17,'模板使用说明&amp;基础参数'!$E$24),IF(H103="EO",IF($C$1="预估功能点",'模板使用说明&amp;基础参数'!$E$18,'模板使用说明&amp;基础参数'!$E$25),IF(H103="EQ",IF($C$1="预估功能点",'模板使用说明&amp;基础参数'!$E$19,'模板使用说明&amp;基础参数'!$E$26),"")))))</f>
        <v>4</v>
      </c>
      <c r="J103" s="97" t="s">
        <v>38</v>
      </c>
      <c r="K103" s="97" t="s">
        <v>78</v>
      </c>
      <c r="L103" s="98">
        <f>IF(I103="","",IF(J103="高",IF(K103="删除",I103*'模板使用说明&amp;基础参数'!$E$5*'模板使用说明&amp;基础参数'!$E$12,IF(K103="修改",I103*'模板使用说明&amp;基础参数'!$E$5*'模板使用说明&amp;基础参数'!$E$11,I103*'模板使用说明&amp;基础参数'!$E$5*'模板使用说明&amp;基础参数'!$E$10)),IF(J103="中",IF(K103="删除",I103*'模板使用说明&amp;基础参数'!$E$6*'模板使用说明&amp;基础参数'!$E$12,IF(K103="修改",I103*'模板使用说明&amp;基础参数'!$E$6*'模板使用说明&amp;基础参数'!$E$11,I103*'模板使用说明&amp;基础参数'!$E$6*'模板使用说明&amp;基础参数'!$E$10)),IF(K103="删除",I103*'模板使用说明&amp;基础参数'!$E$7*'模板使用说明&amp;基础参数'!$E$12,IF(K103="修改",I103*'模板使用说明&amp;基础参数'!$E$7*'模板使用说明&amp;基础参数'!$E$11,I103*'模板使用说明&amp;基础参数'!$E$7*'模板使用说明&amp;基础参数'!$E$10)))))</f>
        <v>1.06666666666667</v>
      </c>
      <c r="M103" s="95"/>
      <c r="N103" s="99"/>
      <c r="O103" s="100"/>
    </row>
    <row r="104" s="70" customFormat="1" ht="25" customHeight="1" spans="1:15">
      <c r="A104" s="93">
        <v>99</v>
      </c>
      <c r="B104" s="94" t="s">
        <v>72</v>
      </c>
      <c r="C104" s="95" t="s">
        <v>276</v>
      </c>
      <c r="D104" s="95" t="s">
        <v>277</v>
      </c>
      <c r="E104" s="95" t="s">
        <v>277</v>
      </c>
      <c r="F104" s="95" t="s">
        <v>284</v>
      </c>
      <c r="G104" s="95" t="s">
        <v>285</v>
      </c>
      <c r="H104" s="93" t="s">
        <v>84</v>
      </c>
      <c r="I104" s="96">
        <f>IF(H104="ILF",IF($C$1="预估功能点",'模板使用说明&amp;基础参数'!$E$15,7),IF(H104="EIF",IF($C$1="预估功能点",'模板使用说明&amp;基础参数'!$E$16,5),IF(H104="EI",IF($C$1="预估功能点",'模板使用说明&amp;基础参数'!$E$17,'模板使用说明&amp;基础参数'!$E$24),IF(H104="EO",IF($C$1="预估功能点",'模板使用说明&amp;基础参数'!$E$18,'模板使用说明&amp;基础参数'!$E$25),IF(H104="EQ",IF($C$1="预估功能点",'模板使用说明&amp;基础参数'!$E$19,'模板使用说明&amp;基础参数'!$E$26),"")))))</f>
        <v>4</v>
      </c>
      <c r="J104" s="97" t="s">
        <v>38</v>
      </c>
      <c r="K104" s="97" t="s">
        <v>78</v>
      </c>
      <c r="L104" s="98">
        <f>IF(I104="","",IF(J104="高",IF(K104="删除",I104*'模板使用说明&amp;基础参数'!$E$5*'模板使用说明&amp;基础参数'!$E$12,IF(K104="修改",I104*'模板使用说明&amp;基础参数'!$E$5*'模板使用说明&amp;基础参数'!$E$11,I104*'模板使用说明&amp;基础参数'!$E$5*'模板使用说明&amp;基础参数'!$E$10)),IF(J104="中",IF(K104="删除",I104*'模板使用说明&amp;基础参数'!$E$6*'模板使用说明&amp;基础参数'!$E$12,IF(K104="修改",I104*'模板使用说明&amp;基础参数'!$E$6*'模板使用说明&amp;基础参数'!$E$11,I104*'模板使用说明&amp;基础参数'!$E$6*'模板使用说明&amp;基础参数'!$E$10)),IF(K104="删除",I104*'模板使用说明&amp;基础参数'!$E$7*'模板使用说明&amp;基础参数'!$E$12,IF(K104="修改",I104*'模板使用说明&amp;基础参数'!$E$7*'模板使用说明&amp;基础参数'!$E$11,I104*'模板使用说明&amp;基础参数'!$E$7*'模板使用说明&amp;基础参数'!$E$10)))))</f>
        <v>1.06666666666667</v>
      </c>
      <c r="M104" s="95"/>
      <c r="N104" s="99"/>
      <c r="O104" s="100"/>
    </row>
    <row r="105" s="70" customFormat="1" ht="25" customHeight="1" spans="1:15">
      <c r="A105" s="93">
        <v>100</v>
      </c>
      <c r="B105" s="94" t="s">
        <v>72</v>
      </c>
      <c r="C105" s="95" t="s">
        <v>276</v>
      </c>
      <c r="D105" s="95" t="s">
        <v>277</v>
      </c>
      <c r="E105" s="95" t="s">
        <v>277</v>
      </c>
      <c r="F105" s="95" t="s">
        <v>286</v>
      </c>
      <c r="G105" s="95" t="s">
        <v>287</v>
      </c>
      <c r="H105" s="93" t="s">
        <v>84</v>
      </c>
      <c r="I105" s="96">
        <f>IF(H105="ILF",IF($C$1="预估功能点",'模板使用说明&amp;基础参数'!$E$15,7),IF(H105="EIF",IF($C$1="预估功能点",'模板使用说明&amp;基础参数'!$E$16,5),IF(H105="EI",IF($C$1="预估功能点",'模板使用说明&amp;基础参数'!$E$17,'模板使用说明&amp;基础参数'!$E$24),IF(H105="EO",IF($C$1="预估功能点",'模板使用说明&amp;基础参数'!$E$18,'模板使用说明&amp;基础参数'!$E$25),IF(H105="EQ",IF($C$1="预估功能点",'模板使用说明&amp;基础参数'!$E$19,'模板使用说明&amp;基础参数'!$E$26),"")))))</f>
        <v>4</v>
      </c>
      <c r="J105" s="97" t="s">
        <v>38</v>
      </c>
      <c r="K105" s="97" t="s">
        <v>78</v>
      </c>
      <c r="L105" s="98">
        <f>IF(I105="","",IF(J105="高",IF(K105="删除",I105*'模板使用说明&amp;基础参数'!$E$5*'模板使用说明&amp;基础参数'!$E$12,IF(K105="修改",I105*'模板使用说明&amp;基础参数'!$E$5*'模板使用说明&amp;基础参数'!$E$11,I105*'模板使用说明&amp;基础参数'!$E$5*'模板使用说明&amp;基础参数'!$E$10)),IF(J105="中",IF(K105="删除",I105*'模板使用说明&amp;基础参数'!$E$6*'模板使用说明&amp;基础参数'!$E$12,IF(K105="修改",I105*'模板使用说明&amp;基础参数'!$E$6*'模板使用说明&amp;基础参数'!$E$11,I105*'模板使用说明&amp;基础参数'!$E$6*'模板使用说明&amp;基础参数'!$E$10)),IF(K105="删除",I105*'模板使用说明&amp;基础参数'!$E$7*'模板使用说明&amp;基础参数'!$E$12,IF(K105="修改",I105*'模板使用说明&amp;基础参数'!$E$7*'模板使用说明&amp;基础参数'!$E$11,I105*'模板使用说明&amp;基础参数'!$E$7*'模板使用说明&amp;基础参数'!$E$10)))))</f>
        <v>1.06666666666667</v>
      </c>
      <c r="M105" s="95"/>
      <c r="N105" s="99"/>
      <c r="O105" s="100"/>
    </row>
    <row r="106" s="70" customFormat="1" ht="25" customHeight="1" spans="1:15">
      <c r="A106" s="93">
        <v>101</v>
      </c>
      <c r="B106" s="94" t="s">
        <v>72</v>
      </c>
      <c r="C106" s="95" t="s">
        <v>276</v>
      </c>
      <c r="D106" s="95" t="s">
        <v>277</v>
      </c>
      <c r="E106" s="95" t="s">
        <v>277</v>
      </c>
      <c r="F106" s="95" t="s">
        <v>288</v>
      </c>
      <c r="G106" s="95" t="s">
        <v>289</v>
      </c>
      <c r="H106" s="93" t="s">
        <v>77</v>
      </c>
      <c r="I106" s="96">
        <f>IF(H106="ILF",IF($C$1="预估功能点",'模板使用说明&amp;基础参数'!$E$15,7),IF(H106="EIF",IF($C$1="预估功能点",'模板使用说明&amp;基础参数'!$E$16,5),IF(H106="EI",IF($C$1="预估功能点",'模板使用说明&amp;基础参数'!$E$17,'模板使用说明&amp;基础参数'!$E$24),IF(H106="EO",IF($C$1="预估功能点",'模板使用说明&amp;基础参数'!$E$18,'模板使用说明&amp;基础参数'!$E$25),IF(H106="EQ",IF($C$1="预估功能点",'模板使用说明&amp;基础参数'!$E$19,'模板使用说明&amp;基础参数'!$E$26),"")))))</f>
        <v>7</v>
      </c>
      <c r="J106" s="97" t="s">
        <v>38</v>
      </c>
      <c r="K106" s="97" t="s">
        <v>78</v>
      </c>
      <c r="L106" s="98">
        <f>IF(I106="","",IF(J106="高",IF(K106="删除",I106*'模板使用说明&amp;基础参数'!$E$5*'模板使用说明&amp;基础参数'!$E$12,IF(K106="修改",I106*'模板使用说明&amp;基础参数'!$E$5*'模板使用说明&amp;基础参数'!$E$11,I106*'模板使用说明&amp;基础参数'!$E$5*'模板使用说明&amp;基础参数'!$E$10)),IF(J106="中",IF(K106="删除",I106*'模板使用说明&amp;基础参数'!$E$6*'模板使用说明&amp;基础参数'!$E$12,IF(K106="修改",I106*'模板使用说明&amp;基础参数'!$E$6*'模板使用说明&amp;基础参数'!$E$11,I106*'模板使用说明&amp;基础参数'!$E$6*'模板使用说明&amp;基础参数'!$E$10)),IF(K106="删除",I106*'模板使用说明&amp;基础参数'!$E$7*'模板使用说明&amp;基础参数'!$E$12,IF(K106="修改",I106*'模板使用说明&amp;基础参数'!$E$7*'模板使用说明&amp;基础参数'!$E$11,I106*'模板使用说明&amp;基础参数'!$E$7*'模板使用说明&amp;基础参数'!$E$10)))))</f>
        <v>1.86666666666666</v>
      </c>
      <c r="M106" s="95"/>
      <c r="N106" s="99"/>
      <c r="O106" s="100"/>
    </row>
    <row r="107" s="70" customFormat="1" ht="25" customHeight="1" spans="1:15">
      <c r="A107" s="93">
        <v>102</v>
      </c>
      <c r="B107" s="94" t="s">
        <v>72</v>
      </c>
      <c r="C107" s="95" t="s">
        <v>276</v>
      </c>
      <c r="D107" s="95" t="s">
        <v>277</v>
      </c>
      <c r="E107" s="95" t="s">
        <v>277</v>
      </c>
      <c r="F107" s="95" t="s">
        <v>290</v>
      </c>
      <c r="G107" s="95" t="s">
        <v>291</v>
      </c>
      <c r="H107" s="93" t="s">
        <v>81</v>
      </c>
      <c r="I107" s="96">
        <f>IF(H107="ILF",IF($C$1="预估功能点",'模板使用说明&amp;基础参数'!$E$15,7),IF(H107="EIF",IF($C$1="预估功能点",'模板使用说明&amp;基础参数'!$E$16,5),IF(H107="EI",IF($C$1="预估功能点",'模板使用说明&amp;基础参数'!$E$17,'模板使用说明&amp;基础参数'!$E$24),IF(H107="EO",IF($C$1="预估功能点",'模板使用说明&amp;基础参数'!$E$18,'模板使用说明&amp;基础参数'!$E$25),IF(H107="EQ",IF($C$1="预估功能点",'模板使用说明&amp;基础参数'!$E$19,'模板使用说明&amp;基础参数'!$E$26),"")))))</f>
        <v>4</v>
      </c>
      <c r="J107" s="97" t="s">
        <v>38</v>
      </c>
      <c r="K107" s="97" t="s">
        <v>78</v>
      </c>
      <c r="L107" s="98">
        <f>IF(I107="","",IF(J107="高",IF(K107="删除",I107*'模板使用说明&amp;基础参数'!$E$5*'模板使用说明&amp;基础参数'!$E$12,IF(K107="修改",I107*'模板使用说明&amp;基础参数'!$E$5*'模板使用说明&amp;基础参数'!$E$11,I107*'模板使用说明&amp;基础参数'!$E$5*'模板使用说明&amp;基础参数'!$E$10)),IF(J107="中",IF(K107="删除",I107*'模板使用说明&amp;基础参数'!$E$6*'模板使用说明&amp;基础参数'!$E$12,IF(K107="修改",I107*'模板使用说明&amp;基础参数'!$E$6*'模板使用说明&amp;基础参数'!$E$11,I107*'模板使用说明&amp;基础参数'!$E$6*'模板使用说明&amp;基础参数'!$E$10)),IF(K107="删除",I107*'模板使用说明&amp;基础参数'!$E$7*'模板使用说明&amp;基础参数'!$E$12,IF(K107="修改",I107*'模板使用说明&amp;基础参数'!$E$7*'模板使用说明&amp;基础参数'!$E$11,I107*'模板使用说明&amp;基础参数'!$E$7*'模板使用说明&amp;基础参数'!$E$10)))))</f>
        <v>1.06666666666667</v>
      </c>
      <c r="M107" s="95"/>
      <c r="N107" s="99"/>
      <c r="O107" s="100"/>
    </row>
    <row r="108" s="70" customFormat="1" ht="25" customHeight="1" spans="1:15">
      <c r="A108" s="93">
        <v>103</v>
      </c>
      <c r="B108" s="94" t="s">
        <v>72</v>
      </c>
      <c r="C108" s="95" t="s">
        <v>276</v>
      </c>
      <c r="D108" s="95" t="s">
        <v>277</v>
      </c>
      <c r="E108" s="95" t="s">
        <v>277</v>
      </c>
      <c r="F108" s="95" t="s">
        <v>292</v>
      </c>
      <c r="G108" s="95" t="s">
        <v>293</v>
      </c>
      <c r="H108" s="93" t="s">
        <v>84</v>
      </c>
      <c r="I108" s="96">
        <f>IF(H108="ILF",IF($C$1="预估功能点",'模板使用说明&amp;基础参数'!$E$15,7),IF(H108="EIF",IF($C$1="预估功能点",'模板使用说明&amp;基础参数'!$E$16,5),IF(H108="EI",IF($C$1="预估功能点",'模板使用说明&amp;基础参数'!$E$17,'模板使用说明&amp;基础参数'!$E$24),IF(H108="EO",IF($C$1="预估功能点",'模板使用说明&amp;基础参数'!$E$18,'模板使用说明&amp;基础参数'!$E$25),IF(H108="EQ",IF($C$1="预估功能点",'模板使用说明&amp;基础参数'!$E$19,'模板使用说明&amp;基础参数'!$E$26),"")))))</f>
        <v>4</v>
      </c>
      <c r="J108" s="97" t="s">
        <v>38</v>
      </c>
      <c r="K108" s="97" t="s">
        <v>78</v>
      </c>
      <c r="L108" s="98">
        <f>IF(I108="","",IF(J108="高",IF(K108="删除",I108*'模板使用说明&amp;基础参数'!$E$5*'模板使用说明&amp;基础参数'!$E$12,IF(K108="修改",I108*'模板使用说明&amp;基础参数'!$E$5*'模板使用说明&amp;基础参数'!$E$11,I108*'模板使用说明&amp;基础参数'!$E$5*'模板使用说明&amp;基础参数'!$E$10)),IF(J108="中",IF(K108="删除",I108*'模板使用说明&amp;基础参数'!$E$6*'模板使用说明&amp;基础参数'!$E$12,IF(K108="修改",I108*'模板使用说明&amp;基础参数'!$E$6*'模板使用说明&amp;基础参数'!$E$11,I108*'模板使用说明&amp;基础参数'!$E$6*'模板使用说明&amp;基础参数'!$E$10)),IF(K108="删除",I108*'模板使用说明&amp;基础参数'!$E$7*'模板使用说明&amp;基础参数'!$E$12,IF(K108="修改",I108*'模板使用说明&amp;基础参数'!$E$7*'模板使用说明&amp;基础参数'!$E$11,I108*'模板使用说明&amp;基础参数'!$E$7*'模板使用说明&amp;基础参数'!$E$10)))))</f>
        <v>1.06666666666667</v>
      </c>
      <c r="M108" s="95"/>
      <c r="N108" s="99"/>
      <c r="O108" s="100"/>
    </row>
    <row r="109" s="70" customFormat="1" ht="25" customHeight="1" spans="1:15">
      <c r="A109" s="93">
        <v>104</v>
      </c>
      <c r="B109" s="94" t="s">
        <v>72</v>
      </c>
      <c r="C109" s="95" t="s">
        <v>276</v>
      </c>
      <c r="D109" s="95" t="s">
        <v>277</v>
      </c>
      <c r="E109" s="95" t="s">
        <v>277</v>
      </c>
      <c r="F109" s="95" t="s">
        <v>294</v>
      </c>
      <c r="G109" s="95" t="s">
        <v>295</v>
      </c>
      <c r="H109" s="93" t="s">
        <v>84</v>
      </c>
      <c r="I109" s="96">
        <f>IF(H109="ILF",IF($C$1="预估功能点",'模板使用说明&amp;基础参数'!$E$15,7),IF(H109="EIF",IF($C$1="预估功能点",'模板使用说明&amp;基础参数'!$E$16,5),IF(H109="EI",IF($C$1="预估功能点",'模板使用说明&amp;基础参数'!$E$17,'模板使用说明&amp;基础参数'!$E$24),IF(H109="EO",IF($C$1="预估功能点",'模板使用说明&amp;基础参数'!$E$18,'模板使用说明&amp;基础参数'!$E$25),IF(H109="EQ",IF($C$1="预估功能点",'模板使用说明&amp;基础参数'!$E$19,'模板使用说明&amp;基础参数'!$E$26),"")))))</f>
        <v>4</v>
      </c>
      <c r="J109" s="97" t="s">
        <v>38</v>
      </c>
      <c r="K109" s="97" t="s">
        <v>78</v>
      </c>
      <c r="L109" s="98">
        <f>IF(I109="","",IF(J109="高",IF(K109="删除",I109*'模板使用说明&amp;基础参数'!$E$5*'模板使用说明&amp;基础参数'!$E$12,IF(K109="修改",I109*'模板使用说明&amp;基础参数'!$E$5*'模板使用说明&amp;基础参数'!$E$11,I109*'模板使用说明&amp;基础参数'!$E$5*'模板使用说明&amp;基础参数'!$E$10)),IF(J109="中",IF(K109="删除",I109*'模板使用说明&amp;基础参数'!$E$6*'模板使用说明&amp;基础参数'!$E$12,IF(K109="修改",I109*'模板使用说明&amp;基础参数'!$E$6*'模板使用说明&amp;基础参数'!$E$11,I109*'模板使用说明&amp;基础参数'!$E$6*'模板使用说明&amp;基础参数'!$E$10)),IF(K109="删除",I109*'模板使用说明&amp;基础参数'!$E$7*'模板使用说明&amp;基础参数'!$E$12,IF(K109="修改",I109*'模板使用说明&amp;基础参数'!$E$7*'模板使用说明&amp;基础参数'!$E$11,I109*'模板使用说明&amp;基础参数'!$E$7*'模板使用说明&amp;基础参数'!$E$10)))))</f>
        <v>1.06666666666667</v>
      </c>
      <c r="M109" s="95"/>
      <c r="N109" s="99"/>
      <c r="O109" s="100"/>
    </row>
    <row r="110" s="70" customFormat="1" ht="25" customHeight="1" spans="1:15">
      <c r="A110" s="93">
        <v>105</v>
      </c>
      <c r="B110" s="94" t="s">
        <v>72</v>
      </c>
      <c r="C110" s="95" t="s">
        <v>276</v>
      </c>
      <c r="D110" s="95" t="s">
        <v>277</v>
      </c>
      <c r="E110" s="95" t="s">
        <v>277</v>
      </c>
      <c r="F110" s="95" t="s">
        <v>296</v>
      </c>
      <c r="G110" s="95" t="s">
        <v>297</v>
      </c>
      <c r="H110" s="93" t="s">
        <v>84</v>
      </c>
      <c r="I110" s="96">
        <f>IF(H110="ILF",IF($C$1="预估功能点",'模板使用说明&amp;基础参数'!$E$15,7),IF(H110="EIF",IF($C$1="预估功能点",'模板使用说明&amp;基础参数'!$E$16,5),IF(H110="EI",IF($C$1="预估功能点",'模板使用说明&amp;基础参数'!$E$17,'模板使用说明&amp;基础参数'!$E$24),IF(H110="EO",IF($C$1="预估功能点",'模板使用说明&amp;基础参数'!$E$18,'模板使用说明&amp;基础参数'!$E$25),IF(H110="EQ",IF($C$1="预估功能点",'模板使用说明&amp;基础参数'!$E$19,'模板使用说明&amp;基础参数'!$E$26),"")))))</f>
        <v>4</v>
      </c>
      <c r="J110" s="97" t="s">
        <v>38</v>
      </c>
      <c r="K110" s="97" t="s">
        <v>78</v>
      </c>
      <c r="L110" s="98">
        <f>IF(I110="","",IF(J110="高",IF(K110="删除",I110*'模板使用说明&amp;基础参数'!$E$5*'模板使用说明&amp;基础参数'!$E$12,IF(K110="修改",I110*'模板使用说明&amp;基础参数'!$E$5*'模板使用说明&amp;基础参数'!$E$11,I110*'模板使用说明&amp;基础参数'!$E$5*'模板使用说明&amp;基础参数'!$E$10)),IF(J110="中",IF(K110="删除",I110*'模板使用说明&amp;基础参数'!$E$6*'模板使用说明&amp;基础参数'!$E$12,IF(K110="修改",I110*'模板使用说明&amp;基础参数'!$E$6*'模板使用说明&amp;基础参数'!$E$11,I110*'模板使用说明&amp;基础参数'!$E$6*'模板使用说明&amp;基础参数'!$E$10)),IF(K110="删除",I110*'模板使用说明&amp;基础参数'!$E$7*'模板使用说明&amp;基础参数'!$E$12,IF(K110="修改",I110*'模板使用说明&amp;基础参数'!$E$7*'模板使用说明&amp;基础参数'!$E$11,I110*'模板使用说明&amp;基础参数'!$E$7*'模板使用说明&amp;基础参数'!$E$10)))))</f>
        <v>1.06666666666667</v>
      </c>
      <c r="M110" s="95"/>
      <c r="N110" s="99"/>
      <c r="O110" s="100"/>
    </row>
    <row r="111" s="70" customFormat="1" ht="25" customHeight="1" spans="1:15">
      <c r="A111" s="93">
        <v>106</v>
      </c>
      <c r="B111" s="94" t="s">
        <v>72</v>
      </c>
      <c r="C111" s="95" t="s">
        <v>276</v>
      </c>
      <c r="D111" s="95" t="s">
        <v>277</v>
      </c>
      <c r="E111" s="95" t="s">
        <v>277</v>
      </c>
      <c r="F111" s="95" t="s">
        <v>298</v>
      </c>
      <c r="G111" s="95" t="s">
        <v>299</v>
      </c>
      <c r="H111" s="93" t="s">
        <v>77</v>
      </c>
      <c r="I111" s="96">
        <f>IF(H111="ILF",IF($C$1="预估功能点",'模板使用说明&amp;基础参数'!$E$15,7),IF(H111="EIF",IF($C$1="预估功能点",'模板使用说明&amp;基础参数'!$E$16,5),IF(H111="EI",IF($C$1="预估功能点",'模板使用说明&amp;基础参数'!$E$17,'模板使用说明&amp;基础参数'!$E$24),IF(H111="EO",IF($C$1="预估功能点",'模板使用说明&amp;基础参数'!$E$18,'模板使用说明&amp;基础参数'!$E$25),IF(H111="EQ",IF($C$1="预估功能点",'模板使用说明&amp;基础参数'!$E$19,'模板使用说明&amp;基础参数'!$E$26),"")))))</f>
        <v>7</v>
      </c>
      <c r="J111" s="97" t="s">
        <v>38</v>
      </c>
      <c r="K111" s="97" t="s">
        <v>78</v>
      </c>
      <c r="L111" s="98">
        <f>IF(I111="","",IF(J111="高",IF(K111="删除",I111*'模板使用说明&amp;基础参数'!$E$5*'模板使用说明&amp;基础参数'!$E$12,IF(K111="修改",I111*'模板使用说明&amp;基础参数'!$E$5*'模板使用说明&amp;基础参数'!$E$11,I111*'模板使用说明&amp;基础参数'!$E$5*'模板使用说明&amp;基础参数'!$E$10)),IF(J111="中",IF(K111="删除",I111*'模板使用说明&amp;基础参数'!$E$6*'模板使用说明&amp;基础参数'!$E$12,IF(K111="修改",I111*'模板使用说明&amp;基础参数'!$E$6*'模板使用说明&amp;基础参数'!$E$11,I111*'模板使用说明&amp;基础参数'!$E$6*'模板使用说明&amp;基础参数'!$E$10)),IF(K111="删除",I111*'模板使用说明&amp;基础参数'!$E$7*'模板使用说明&amp;基础参数'!$E$12,IF(K111="修改",I111*'模板使用说明&amp;基础参数'!$E$7*'模板使用说明&amp;基础参数'!$E$11,I111*'模板使用说明&amp;基础参数'!$E$7*'模板使用说明&amp;基础参数'!$E$10)))))</f>
        <v>1.86666666666666</v>
      </c>
      <c r="M111" s="95"/>
      <c r="N111" s="99"/>
      <c r="O111" s="100"/>
    </row>
    <row r="112" s="70" customFormat="1" ht="25" customHeight="1" spans="1:15">
      <c r="A112" s="93">
        <v>107</v>
      </c>
      <c r="B112" s="94" t="s">
        <v>72</v>
      </c>
      <c r="C112" s="95" t="s">
        <v>276</v>
      </c>
      <c r="D112" s="95" t="s">
        <v>277</v>
      </c>
      <c r="E112" s="95" t="s">
        <v>277</v>
      </c>
      <c r="F112" s="95" t="s">
        <v>300</v>
      </c>
      <c r="G112" s="95" t="s">
        <v>301</v>
      </c>
      <c r="H112" s="93" t="s">
        <v>81</v>
      </c>
      <c r="I112" s="96">
        <f>IF(H112="ILF",IF($C$1="预估功能点",'模板使用说明&amp;基础参数'!$E$15,7),IF(H112="EIF",IF($C$1="预估功能点",'模板使用说明&amp;基础参数'!$E$16,5),IF(H112="EI",IF($C$1="预估功能点",'模板使用说明&amp;基础参数'!$E$17,'模板使用说明&amp;基础参数'!$E$24),IF(H112="EO",IF($C$1="预估功能点",'模板使用说明&amp;基础参数'!$E$18,'模板使用说明&amp;基础参数'!$E$25),IF(H112="EQ",IF($C$1="预估功能点",'模板使用说明&amp;基础参数'!$E$19,'模板使用说明&amp;基础参数'!$E$26),"")))))</f>
        <v>4</v>
      </c>
      <c r="J112" s="97" t="s">
        <v>38</v>
      </c>
      <c r="K112" s="97" t="s">
        <v>78</v>
      </c>
      <c r="L112" s="98">
        <f>IF(I112="","",IF(J112="高",IF(K112="删除",I112*'模板使用说明&amp;基础参数'!$E$5*'模板使用说明&amp;基础参数'!$E$12,IF(K112="修改",I112*'模板使用说明&amp;基础参数'!$E$5*'模板使用说明&amp;基础参数'!$E$11,I112*'模板使用说明&amp;基础参数'!$E$5*'模板使用说明&amp;基础参数'!$E$10)),IF(J112="中",IF(K112="删除",I112*'模板使用说明&amp;基础参数'!$E$6*'模板使用说明&amp;基础参数'!$E$12,IF(K112="修改",I112*'模板使用说明&amp;基础参数'!$E$6*'模板使用说明&amp;基础参数'!$E$11,I112*'模板使用说明&amp;基础参数'!$E$6*'模板使用说明&amp;基础参数'!$E$10)),IF(K112="删除",I112*'模板使用说明&amp;基础参数'!$E$7*'模板使用说明&amp;基础参数'!$E$12,IF(K112="修改",I112*'模板使用说明&amp;基础参数'!$E$7*'模板使用说明&amp;基础参数'!$E$11,I112*'模板使用说明&amp;基础参数'!$E$7*'模板使用说明&amp;基础参数'!$E$10)))))</f>
        <v>1.06666666666667</v>
      </c>
      <c r="M112" s="95"/>
      <c r="N112" s="99"/>
      <c r="O112" s="100"/>
    </row>
    <row r="113" s="70" customFormat="1" ht="25" customHeight="1" spans="1:15">
      <c r="A113" s="93">
        <v>108</v>
      </c>
      <c r="B113" s="94" t="s">
        <v>72</v>
      </c>
      <c r="C113" s="95" t="s">
        <v>276</v>
      </c>
      <c r="D113" s="95" t="s">
        <v>277</v>
      </c>
      <c r="E113" s="95" t="s">
        <v>277</v>
      </c>
      <c r="F113" s="95" t="s">
        <v>302</v>
      </c>
      <c r="G113" s="95" t="s">
        <v>303</v>
      </c>
      <c r="H113" s="93" t="s">
        <v>84</v>
      </c>
      <c r="I113" s="96">
        <f>IF(H113="ILF",IF($C$1="预估功能点",'模板使用说明&amp;基础参数'!$E$15,7),IF(H113="EIF",IF($C$1="预估功能点",'模板使用说明&amp;基础参数'!$E$16,5),IF(H113="EI",IF($C$1="预估功能点",'模板使用说明&amp;基础参数'!$E$17,'模板使用说明&amp;基础参数'!$E$24),IF(H113="EO",IF($C$1="预估功能点",'模板使用说明&amp;基础参数'!$E$18,'模板使用说明&amp;基础参数'!$E$25),IF(H113="EQ",IF($C$1="预估功能点",'模板使用说明&amp;基础参数'!$E$19,'模板使用说明&amp;基础参数'!$E$26),"")))))</f>
        <v>4</v>
      </c>
      <c r="J113" s="97" t="s">
        <v>38</v>
      </c>
      <c r="K113" s="97" t="s">
        <v>78</v>
      </c>
      <c r="L113" s="98">
        <f>IF(I113="","",IF(J113="高",IF(K113="删除",I113*'模板使用说明&amp;基础参数'!$E$5*'模板使用说明&amp;基础参数'!$E$12,IF(K113="修改",I113*'模板使用说明&amp;基础参数'!$E$5*'模板使用说明&amp;基础参数'!$E$11,I113*'模板使用说明&amp;基础参数'!$E$5*'模板使用说明&amp;基础参数'!$E$10)),IF(J113="中",IF(K113="删除",I113*'模板使用说明&amp;基础参数'!$E$6*'模板使用说明&amp;基础参数'!$E$12,IF(K113="修改",I113*'模板使用说明&amp;基础参数'!$E$6*'模板使用说明&amp;基础参数'!$E$11,I113*'模板使用说明&amp;基础参数'!$E$6*'模板使用说明&amp;基础参数'!$E$10)),IF(K113="删除",I113*'模板使用说明&amp;基础参数'!$E$7*'模板使用说明&amp;基础参数'!$E$12,IF(K113="修改",I113*'模板使用说明&amp;基础参数'!$E$7*'模板使用说明&amp;基础参数'!$E$11,I113*'模板使用说明&amp;基础参数'!$E$7*'模板使用说明&amp;基础参数'!$E$10)))))</f>
        <v>1.06666666666667</v>
      </c>
      <c r="M113" s="95"/>
      <c r="N113" s="99"/>
      <c r="O113" s="100"/>
    </row>
    <row r="114" s="70" customFormat="1" ht="25" customHeight="1" spans="1:15">
      <c r="A114" s="93">
        <v>109</v>
      </c>
      <c r="B114" s="94" t="s">
        <v>72</v>
      </c>
      <c r="C114" s="95" t="s">
        <v>276</v>
      </c>
      <c r="D114" s="95" t="s">
        <v>277</v>
      </c>
      <c r="E114" s="95" t="s">
        <v>277</v>
      </c>
      <c r="F114" s="95" t="s">
        <v>304</v>
      </c>
      <c r="G114" s="95" t="s">
        <v>305</v>
      </c>
      <c r="H114" s="93" t="s">
        <v>84</v>
      </c>
      <c r="I114" s="96">
        <f>IF(H114="ILF",IF($C$1="预估功能点",'模板使用说明&amp;基础参数'!$E$15,7),IF(H114="EIF",IF($C$1="预估功能点",'模板使用说明&amp;基础参数'!$E$16,5),IF(H114="EI",IF($C$1="预估功能点",'模板使用说明&amp;基础参数'!$E$17,'模板使用说明&amp;基础参数'!$E$24),IF(H114="EO",IF($C$1="预估功能点",'模板使用说明&amp;基础参数'!$E$18,'模板使用说明&amp;基础参数'!$E$25),IF(H114="EQ",IF($C$1="预估功能点",'模板使用说明&amp;基础参数'!$E$19,'模板使用说明&amp;基础参数'!$E$26),"")))))</f>
        <v>4</v>
      </c>
      <c r="J114" s="97" t="s">
        <v>38</v>
      </c>
      <c r="K114" s="97" t="s">
        <v>78</v>
      </c>
      <c r="L114" s="98">
        <f>IF(I114="","",IF(J114="高",IF(K114="删除",I114*'模板使用说明&amp;基础参数'!$E$5*'模板使用说明&amp;基础参数'!$E$12,IF(K114="修改",I114*'模板使用说明&amp;基础参数'!$E$5*'模板使用说明&amp;基础参数'!$E$11,I114*'模板使用说明&amp;基础参数'!$E$5*'模板使用说明&amp;基础参数'!$E$10)),IF(J114="中",IF(K114="删除",I114*'模板使用说明&amp;基础参数'!$E$6*'模板使用说明&amp;基础参数'!$E$12,IF(K114="修改",I114*'模板使用说明&amp;基础参数'!$E$6*'模板使用说明&amp;基础参数'!$E$11,I114*'模板使用说明&amp;基础参数'!$E$6*'模板使用说明&amp;基础参数'!$E$10)),IF(K114="删除",I114*'模板使用说明&amp;基础参数'!$E$7*'模板使用说明&amp;基础参数'!$E$12,IF(K114="修改",I114*'模板使用说明&amp;基础参数'!$E$7*'模板使用说明&amp;基础参数'!$E$11,I114*'模板使用说明&amp;基础参数'!$E$7*'模板使用说明&amp;基础参数'!$E$10)))))</f>
        <v>1.06666666666667</v>
      </c>
      <c r="M114" s="95"/>
      <c r="N114" s="99"/>
      <c r="O114" s="100"/>
    </row>
    <row r="115" s="70" customFormat="1" ht="25" customHeight="1" spans="1:15">
      <c r="A115" s="93">
        <v>110</v>
      </c>
      <c r="B115" s="94" t="s">
        <v>72</v>
      </c>
      <c r="C115" s="95" t="s">
        <v>276</v>
      </c>
      <c r="D115" s="95" t="s">
        <v>277</v>
      </c>
      <c r="E115" s="95" t="s">
        <v>277</v>
      </c>
      <c r="F115" s="95" t="s">
        <v>306</v>
      </c>
      <c r="G115" s="95" t="s">
        <v>307</v>
      </c>
      <c r="H115" s="93" t="s">
        <v>84</v>
      </c>
      <c r="I115" s="96">
        <f>IF(H115="ILF",IF($C$1="预估功能点",'模板使用说明&amp;基础参数'!$E$15,7),IF(H115="EIF",IF($C$1="预估功能点",'模板使用说明&amp;基础参数'!$E$16,5),IF(H115="EI",IF($C$1="预估功能点",'模板使用说明&amp;基础参数'!$E$17,'模板使用说明&amp;基础参数'!$E$24),IF(H115="EO",IF($C$1="预估功能点",'模板使用说明&amp;基础参数'!$E$18,'模板使用说明&amp;基础参数'!$E$25),IF(H115="EQ",IF($C$1="预估功能点",'模板使用说明&amp;基础参数'!$E$19,'模板使用说明&amp;基础参数'!$E$26),"")))))</f>
        <v>4</v>
      </c>
      <c r="J115" s="97" t="s">
        <v>38</v>
      </c>
      <c r="K115" s="97" t="s">
        <v>78</v>
      </c>
      <c r="L115" s="98">
        <f>IF(I115="","",IF(J115="高",IF(K115="删除",I115*'模板使用说明&amp;基础参数'!$E$5*'模板使用说明&amp;基础参数'!$E$12,IF(K115="修改",I115*'模板使用说明&amp;基础参数'!$E$5*'模板使用说明&amp;基础参数'!$E$11,I115*'模板使用说明&amp;基础参数'!$E$5*'模板使用说明&amp;基础参数'!$E$10)),IF(J115="中",IF(K115="删除",I115*'模板使用说明&amp;基础参数'!$E$6*'模板使用说明&amp;基础参数'!$E$12,IF(K115="修改",I115*'模板使用说明&amp;基础参数'!$E$6*'模板使用说明&amp;基础参数'!$E$11,I115*'模板使用说明&amp;基础参数'!$E$6*'模板使用说明&amp;基础参数'!$E$10)),IF(K115="删除",I115*'模板使用说明&amp;基础参数'!$E$7*'模板使用说明&amp;基础参数'!$E$12,IF(K115="修改",I115*'模板使用说明&amp;基础参数'!$E$7*'模板使用说明&amp;基础参数'!$E$11,I115*'模板使用说明&amp;基础参数'!$E$7*'模板使用说明&amp;基础参数'!$E$10)))))</f>
        <v>1.06666666666667</v>
      </c>
      <c r="M115" s="95"/>
      <c r="N115" s="99"/>
      <c r="O115" s="100"/>
    </row>
    <row r="116" s="70" customFormat="1" ht="25" customHeight="1" spans="1:15">
      <c r="A116" s="93">
        <v>111</v>
      </c>
      <c r="B116" s="94" t="s">
        <v>72</v>
      </c>
      <c r="C116" s="95" t="s">
        <v>276</v>
      </c>
      <c r="D116" s="95" t="s">
        <v>277</v>
      </c>
      <c r="E116" s="95" t="s">
        <v>277</v>
      </c>
      <c r="F116" s="95" t="s">
        <v>308</v>
      </c>
      <c r="G116" s="95" t="s">
        <v>309</v>
      </c>
      <c r="H116" s="93" t="s">
        <v>77</v>
      </c>
      <c r="I116" s="96">
        <f>IF(H116="ILF",IF($C$1="预估功能点",'模板使用说明&amp;基础参数'!$E$15,7),IF(H116="EIF",IF($C$1="预估功能点",'模板使用说明&amp;基础参数'!$E$16,5),IF(H116="EI",IF($C$1="预估功能点",'模板使用说明&amp;基础参数'!$E$17,'模板使用说明&amp;基础参数'!$E$24),IF(H116="EO",IF($C$1="预估功能点",'模板使用说明&amp;基础参数'!$E$18,'模板使用说明&amp;基础参数'!$E$25),IF(H116="EQ",IF($C$1="预估功能点",'模板使用说明&amp;基础参数'!$E$19,'模板使用说明&amp;基础参数'!$E$26),"")))))</f>
        <v>7</v>
      </c>
      <c r="J116" s="97" t="s">
        <v>38</v>
      </c>
      <c r="K116" s="97" t="s">
        <v>78</v>
      </c>
      <c r="L116" s="98">
        <f>IF(I116="","",IF(J116="高",IF(K116="删除",I116*'模板使用说明&amp;基础参数'!$E$5*'模板使用说明&amp;基础参数'!$E$12,IF(K116="修改",I116*'模板使用说明&amp;基础参数'!$E$5*'模板使用说明&amp;基础参数'!$E$11,I116*'模板使用说明&amp;基础参数'!$E$5*'模板使用说明&amp;基础参数'!$E$10)),IF(J116="中",IF(K116="删除",I116*'模板使用说明&amp;基础参数'!$E$6*'模板使用说明&amp;基础参数'!$E$12,IF(K116="修改",I116*'模板使用说明&amp;基础参数'!$E$6*'模板使用说明&amp;基础参数'!$E$11,I116*'模板使用说明&amp;基础参数'!$E$6*'模板使用说明&amp;基础参数'!$E$10)),IF(K116="删除",I116*'模板使用说明&amp;基础参数'!$E$7*'模板使用说明&amp;基础参数'!$E$12,IF(K116="修改",I116*'模板使用说明&amp;基础参数'!$E$7*'模板使用说明&amp;基础参数'!$E$11,I116*'模板使用说明&amp;基础参数'!$E$7*'模板使用说明&amp;基础参数'!$E$10)))))</f>
        <v>1.86666666666666</v>
      </c>
      <c r="M116" s="95"/>
      <c r="N116" s="99"/>
      <c r="O116" s="100"/>
    </row>
    <row r="117" s="70" customFormat="1" ht="25" customHeight="1" spans="1:15">
      <c r="A117" s="93">
        <v>112</v>
      </c>
      <c r="B117" s="94" t="s">
        <v>72</v>
      </c>
      <c r="C117" s="95" t="s">
        <v>276</v>
      </c>
      <c r="D117" s="95" t="s">
        <v>277</v>
      </c>
      <c r="E117" s="95" t="s">
        <v>277</v>
      </c>
      <c r="F117" s="95" t="s">
        <v>310</v>
      </c>
      <c r="G117" s="95" t="s">
        <v>311</v>
      </c>
      <c r="H117" s="93" t="s">
        <v>81</v>
      </c>
      <c r="I117" s="96">
        <f>IF(H117="ILF",IF($C$1="预估功能点",'模板使用说明&amp;基础参数'!$E$15,7),IF(H117="EIF",IF($C$1="预估功能点",'模板使用说明&amp;基础参数'!$E$16,5),IF(H117="EI",IF($C$1="预估功能点",'模板使用说明&amp;基础参数'!$E$17,'模板使用说明&amp;基础参数'!$E$24),IF(H117="EO",IF($C$1="预估功能点",'模板使用说明&amp;基础参数'!$E$18,'模板使用说明&amp;基础参数'!$E$25),IF(H117="EQ",IF($C$1="预估功能点",'模板使用说明&amp;基础参数'!$E$19,'模板使用说明&amp;基础参数'!$E$26),"")))))</f>
        <v>4</v>
      </c>
      <c r="J117" s="97" t="s">
        <v>38</v>
      </c>
      <c r="K117" s="97" t="s">
        <v>78</v>
      </c>
      <c r="L117" s="98">
        <f>IF(I117="","",IF(J117="高",IF(K117="删除",I117*'模板使用说明&amp;基础参数'!$E$5*'模板使用说明&amp;基础参数'!$E$12,IF(K117="修改",I117*'模板使用说明&amp;基础参数'!$E$5*'模板使用说明&amp;基础参数'!$E$11,I117*'模板使用说明&amp;基础参数'!$E$5*'模板使用说明&amp;基础参数'!$E$10)),IF(J117="中",IF(K117="删除",I117*'模板使用说明&amp;基础参数'!$E$6*'模板使用说明&amp;基础参数'!$E$12,IF(K117="修改",I117*'模板使用说明&amp;基础参数'!$E$6*'模板使用说明&amp;基础参数'!$E$11,I117*'模板使用说明&amp;基础参数'!$E$6*'模板使用说明&amp;基础参数'!$E$10)),IF(K117="删除",I117*'模板使用说明&amp;基础参数'!$E$7*'模板使用说明&amp;基础参数'!$E$12,IF(K117="修改",I117*'模板使用说明&amp;基础参数'!$E$7*'模板使用说明&amp;基础参数'!$E$11,I117*'模板使用说明&amp;基础参数'!$E$7*'模板使用说明&amp;基础参数'!$E$10)))))</f>
        <v>1.06666666666667</v>
      </c>
      <c r="M117" s="95"/>
      <c r="N117" s="99"/>
      <c r="O117" s="100"/>
    </row>
    <row r="118" s="70" customFormat="1" ht="25" customHeight="1" spans="1:15">
      <c r="A118" s="93">
        <v>113</v>
      </c>
      <c r="B118" s="94" t="s">
        <v>72</v>
      </c>
      <c r="C118" s="95" t="s">
        <v>276</v>
      </c>
      <c r="D118" s="95" t="s">
        <v>277</v>
      </c>
      <c r="E118" s="95" t="s">
        <v>277</v>
      </c>
      <c r="F118" s="95" t="s">
        <v>312</v>
      </c>
      <c r="G118" s="95" t="s">
        <v>313</v>
      </c>
      <c r="H118" s="93" t="s">
        <v>84</v>
      </c>
      <c r="I118" s="96">
        <f>IF(H118="ILF",IF($C$1="预估功能点",'模板使用说明&amp;基础参数'!$E$15,7),IF(H118="EIF",IF($C$1="预估功能点",'模板使用说明&amp;基础参数'!$E$16,5),IF(H118="EI",IF($C$1="预估功能点",'模板使用说明&amp;基础参数'!$E$17,'模板使用说明&amp;基础参数'!$E$24),IF(H118="EO",IF($C$1="预估功能点",'模板使用说明&amp;基础参数'!$E$18,'模板使用说明&amp;基础参数'!$E$25),IF(H118="EQ",IF($C$1="预估功能点",'模板使用说明&amp;基础参数'!$E$19,'模板使用说明&amp;基础参数'!$E$26),"")))))</f>
        <v>4</v>
      </c>
      <c r="J118" s="97" t="s">
        <v>38</v>
      </c>
      <c r="K118" s="97" t="s">
        <v>78</v>
      </c>
      <c r="L118" s="98">
        <f>IF(I118="","",IF(J118="高",IF(K118="删除",I118*'模板使用说明&amp;基础参数'!$E$5*'模板使用说明&amp;基础参数'!$E$12,IF(K118="修改",I118*'模板使用说明&amp;基础参数'!$E$5*'模板使用说明&amp;基础参数'!$E$11,I118*'模板使用说明&amp;基础参数'!$E$5*'模板使用说明&amp;基础参数'!$E$10)),IF(J118="中",IF(K118="删除",I118*'模板使用说明&amp;基础参数'!$E$6*'模板使用说明&amp;基础参数'!$E$12,IF(K118="修改",I118*'模板使用说明&amp;基础参数'!$E$6*'模板使用说明&amp;基础参数'!$E$11,I118*'模板使用说明&amp;基础参数'!$E$6*'模板使用说明&amp;基础参数'!$E$10)),IF(K118="删除",I118*'模板使用说明&amp;基础参数'!$E$7*'模板使用说明&amp;基础参数'!$E$12,IF(K118="修改",I118*'模板使用说明&amp;基础参数'!$E$7*'模板使用说明&amp;基础参数'!$E$11,I118*'模板使用说明&amp;基础参数'!$E$7*'模板使用说明&amp;基础参数'!$E$10)))))</f>
        <v>1.06666666666667</v>
      </c>
      <c r="M118" s="95"/>
      <c r="N118" s="99"/>
      <c r="O118" s="100"/>
    </row>
    <row r="119" s="70" customFormat="1" ht="25" customHeight="1" spans="1:15">
      <c r="A119" s="93">
        <v>114</v>
      </c>
      <c r="B119" s="94" t="s">
        <v>72</v>
      </c>
      <c r="C119" s="95" t="s">
        <v>276</v>
      </c>
      <c r="D119" s="95" t="s">
        <v>277</v>
      </c>
      <c r="E119" s="95" t="s">
        <v>277</v>
      </c>
      <c r="F119" s="95" t="s">
        <v>314</v>
      </c>
      <c r="G119" s="95" t="s">
        <v>315</v>
      </c>
      <c r="H119" s="93" t="s">
        <v>84</v>
      </c>
      <c r="I119" s="96">
        <f>IF(H119="ILF",IF($C$1="预估功能点",'模板使用说明&amp;基础参数'!$E$15,7),IF(H119="EIF",IF($C$1="预估功能点",'模板使用说明&amp;基础参数'!$E$16,5),IF(H119="EI",IF($C$1="预估功能点",'模板使用说明&amp;基础参数'!$E$17,'模板使用说明&amp;基础参数'!$E$24),IF(H119="EO",IF($C$1="预估功能点",'模板使用说明&amp;基础参数'!$E$18,'模板使用说明&amp;基础参数'!$E$25),IF(H119="EQ",IF($C$1="预估功能点",'模板使用说明&amp;基础参数'!$E$19,'模板使用说明&amp;基础参数'!$E$26),"")))))</f>
        <v>4</v>
      </c>
      <c r="J119" s="97" t="s">
        <v>38</v>
      </c>
      <c r="K119" s="97" t="s">
        <v>78</v>
      </c>
      <c r="L119" s="98">
        <f>IF(I119="","",IF(J119="高",IF(K119="删除",I119*'模板使用说明&amp;基础参数'!$E$5*'模板使用说明&amp;基础参数'!$E$12,IF(K119="修改",I119*'模板使用说明&amp;基础参数'!$E$5*'模板使用说明&amp;基础参数'!$E$11,I119*'模板使用说明&amp;基础参数'!$E$5*'模板使用说明&amp;基础参数'!$E$10)),IF(J119="中",IF(K119="删除",I119*'模板使用说明&amp;基础参数'!$E$6*'模板使用说明&amp;基础参数'!$E$12,IF(K119="修改",I119*'模板使用说明&amp;基础参数'!$E$6*'模板使用说明&amp;基础参数'!$E$11,I119*'模板使用说明&amp;基础参数'!$E$6*'模板使用说明&amp;基础参数'!$E$10)),IF(K119="删除",I119*'模板使用说明&amp;基础参数'!$E$7*'模板使用说明&amp;基础参数'!$E$12,IF(K119="修改",I119*'模板使用说明&amp;基础参数'!$E$7*'模板使用说明&amp;基础参数'!$E$11,I119*'模板使用说明&amp;基础参数'!$E$7*'模板使用说明&amp;基础参数'!$E$10)))))</f>
        <v>1.06666666666667</v>
      </c>
      <c r="M119" s="95"/>
      <c r="N119" s="99"/>
      <c r="O119" s="100"/>
    </row>
    <row r="120" s="70" customFormat="1" ht="25" customHeight="1" spans="1:15">
      <c r="A120" s="93">
        <v>115</v>
      </c>
      <c r="B120" s="94" t="s">
        <v>72</v>
      </c>
      <c r="C120" s="95" t="s">
        <v>276</v>
      </c>
      <c r="D120" s="95" t="s">
        <v>277</v>
      </c>
      <c r="E120" s="95" t="s">
        <v>277</v>
      </c>
      <c r="F120" s="95" t="s">
        <v>316</v>
      </c>
      <c r="G120" s="95" t="s">
        <v>317</v>
      </c>
      <c r="H120" s="93" t="s">
        <v>84</v>
      </c>
      <c r="I120" s="96">
        <f>IF(H120="ILF",IF($C$1="预估功能点",'模板使用说明&amp;基础参数'!$E$15,7),IF(H120="EIF",IF($C$1="预估功能点",'模板使用说明&amp;基础参数'!$E$16,5),IF(H120="EI",IF($C$1="预估功能点",'模板使用说明&amp;基础参数'!$E$17,'模板使用说明&amp;基础参数'!$E$24),IF(H120="EO",IF($C$1="预估功能点",'模板使用说明&amp;基础参数'!$E$18,'模板使用说明&amp;基础参数'!$E$25),IF(H120="EQ",IF($C$1="预估功能点",'模板使用说明&amp;基础参数'!$E$19,'模板使用说明&amp;基础参数'!$E$26),"")))))</f>
        <v>4</v>
      </c>
      <c r="J120" s="97" t="s">
        <v>38</v>
      </c>
      <c r="K120" s="97" t="s">
        <v>78</v>
      </c>
      <c r="L120" s="98">
        <f>IF(I120="","",IF(J120="高",IF(K120="删除",I120*'模板使用说明&amp;基础参数'!$E$5*'模板使用说明&amp;基础参数'!$E$12,IF(K120="修改",I120*'模板使用说明&amp;基础参数'!$E$5*'模板使用说明&amp;基础参数'!$E$11,I120*'模板使用说明&amp;基础参数'!$E$5*'模板使用说明&amp;基础参数'!$E$10)),IF(J120="中",IF(K120="删除",I120*'模板使用说明&amp;基础参数'!$E$6*'模板使用说明&amp;基础参数'!$E$12,IF(K120="修改",I120*'模板使用说明&amp;基础参数'!$E$6*'模板使用说明&amp;基础参数'!$E$11,I120*'模板使用说明&amp;基础参数'!$E$6*'模板使用说明&amp;基础参数'!$E$10)),IF(K120="删除",I120*'模板使用说明&amp;基础参数'!$E$7*'模板使用说明&amp;基础参数'!$E$12,IF(K120="修改",I120*'模板使用说明&amp;基础参数'!$E$7*'模板使用说明&amp;基础参数'!$E$11,I120*'模板使用说明&amp;基础参数'!$E$7*'模板使用说明&amp;基础参数'!$E$10)))))</f>
        <v>1.06666666666667</v>
      </c>
      <c r="M120" s="95"/>
      <c r="N120" s="99"/>
      <c r="O120" s="100"/>
    </row>
    <row r="121" s="70" customFormat="1" ht="25" customHeight="1" spans="1:15">
      <c r="A121" s="93">
        <v>116</v>
      </c>
      <c r="B121" s="94" t="s">
        <v>72</v>
      </c>
      <c r="C121" s="95" t="s">
        <v>276</v>
      </c>
      <c r="D121" s="95" t="s">
        <v>277</v>
      </c>
      <c r="E121" s="95" t="s">
        <v>277</v>
      </c>
      <c r="F121" s="95" t="s">
        <v>318</v>
      </c>
      <c r="G121" s="95" t="s">
        <v>319</v>
      </c>
      <c r="H121" s="93" t="s">
        <v>77</v>
      </c>
      <c r="I121" s="96">
        <f>IF(H121="ILF",IF($C$1="预估功能点",'模板使用说明&amp;基础参数'!$E$15,7),IF(H121="EIF",IF($C$1="预估功能点",'模板使用说明&amp;基础参数'!$E$16,5),IF(H121="EI",IF($C$1="预估功能点",'模板使用说明&amp;基础参数'!$E$17,'模板使用说明&amp;基础参数'!$E$24),IF(H121="EO",IF($C$1="预估功能点",'模板使用说明&amp;基础参数'!$E$18,'模板使用说明&amp;基础参数'!$E$25),IF(H121="EQ",IF($C$1="预估功能点",'模板使用说明&amp;基础参数'!$E$19,'模板使用说明&amp;基础参数'!$E$26),"")))))</f>
        <v>7</v>
      </c>
      <c r="J121" s="97" t="s">
        <v>38</v>
      </c>
      <c r="K121" s="97" t="s">
        <v>78</v>
      </c>
      <c r="L121" s="98">
        <f>IF(I121="","",IF(J121="高",IF(K121="删除",I121*'模板使用说明&amp;基础参数'!$E$5*'模板使用说明&amp;基础参数'!$E$12,IF(K121="修改",I121*'模板使用说明&amp;基础参数'!$E$5*'模板使用说明&amp;基础参数'!$E$11,I121*'模板使用说明&amp;基础参数'!$E$5*'模板使用说明&amp;基础参数'!$E$10)),IF(J121="中",IF(K121="删除",I121*'模板使用说明&amp;基础参数'!$E$6*'模板使用说明&amp;基础参数'!$E$12,IF(K121="修改",I121*'模板使用说明&amp;基础参数'!$E$6*'模板使用说明&amp;基础参数'!$E$11,I121*'模板使用说明&amp;基础参数'!$E$6*'模板使用说明&amp;基础参数'!$E$10)),IF(K121="删除",I121*'模板使用说明&amp;基础参数'!$E$7*'模板使用说明&amp;基础参数'!$E$12,IF(K121="修改",I121*'模板使用说明&amp;基础参数'!$E$7*'模板使用说明&amp;基础参数'!$E$11,I121*'模板使用说明&amp;基础参数'!$E$7*'模板使用说明&amp;基础参数'!$E$10)))))</f>
        <v>1.86666666666666</v>
      </c>
      <c r="M121" s="95"/>
      <c r="N121" s="99"/>
      <c r="O121" s="100"/>
    </row>
    <row r="122" s="70" customFormat="1" ht="25" customHeight="1" spans="1:15">
      <c r="A122" s="93">
        <v>117</v>
      </c>
      <c r="B122" s="94" t="s">
        <v>72</v>
      </c>
      <c r="C122" s="95" t="s">
        <v>276</v>
      </c>
      <c r="D122" s="95" t="s">
        <v>277</v>
      </c>
      <c r="E122" s="95" t="s">
        <v>277</v>
      </c>
      <c r="F122" s="95" t="s">
        <v>320</v>
      </c>
      <c r="G122" s="95" t="s">
        <v>321</v>
      </c>
      <c r="H122" s="93" t="s">
        <v>81</v>
      </c>
      <c r="I122" s="96">
        <f>IF(H122="ILF",IF($C$1="预估功能点",'模板使用说明&amp;基础参数'!$E$15,7),IF(H122="EIF",IF($C$1="预估功能点",'模板使用说明&amp;基础参数'!$E$16,5),IF(H122="EI",IF($C$1="预估功能点",'模板使用说明&amp;基础参数'!$E$17,'模板使用说明&amp;基础参数'!$E$24),IF(H122="EO",IF($C$1="预估功能点",'模板使用说明&amp;基础参数'!$E$18,'模板使用说明&amp;基础参数'!$E$25),IF(H122="EQ",IF($C$1="预估功能点",'模板使用说明&amp;基础参数'!$E$19,'模板使用说明&amp;基础参数'!$E$26),"")))))</f>
        <v>4</v>
      </c>
      <c r="J122" s="97" t="s">
        <v>38</v>
      </c>
      <c r="K122" s="97" t="s">
        <v>78</v>
      </c>
      <c r="L122" s="98">
        <f>IF(I122="","",IF(J122="高",IF(K122="删除",I122*'模板使用说明&amp;基础参数'!$E$5*'模板使用说明&amp;基础参数'!$E$12,IF(K122="修改",I122*'模板使用说明&amp;基础参数'!$E$5*'模板使用说明&amp;基础参数'!$E$11,I122*'模板使用说明&amp;基础参数'!$E$5*'模板使用说明&amp;基础参数'!$E$10)),IF(J122="中",IF(K122="删除",I122*'模板使用说明&amp;基础参数'!$E$6*'模板使用说明&amp;基础参数'!$E$12,IF(K122="修改",I122*'模板使用说明&amp;基础参数'!$E$6*'模板使用说明&amp;基础参数'!$E$11,I122*'模板使用说明&amp;基础参数'!$E$6*'模板使用说明&amp;基础参数'!$E$10)),IF(K122="删除",I122*'模板使用说明&amp;基础参数'!$E$7*'模板使用说明&amp;基础参数'!$E$12,IF(K122="修改",I122*'模板使用说明&amp;基础参数'!$E$7*'模板使用说明&amp;基础参数'!$E$11,I122*'模板使用说明&amp;基础参数'!$E$7*'模板使用说明&amp;基础参数'!$E$10)))))</f>
        <v>1.06666666666667</v>
      </c>
      <c r="M122" s="95"/>
      <c r="N122" s="99"/>
      <c r="O122" s="100"/>
    </row>
    <row r="123" s="70" customFormat="1" ht="25" customHeight="1" spans="1:15">
      <c r="A123" s="93">
        <v>118</v>
      </c>
      <c r="B123" s="94" t="s">
        <v>72</v>
      </c>
      <c r="C123" s="95" t="s">
        <v>276</v>
      </c>
      <c r="D123" s="95" t="s">
        <v>277</v>
      </c>
      <c r="E123" s="95" t="s">
        <v>277</v>
      </c>
      <c r="F123" s="95" t="s">
        <v>322</v>
      </c>
      <c r="G123" s="95" t="s">
        <v>323</v>
      </c>
      <c r="H123" s="93" t="s">
        <v>84</v>
      </c>
      <c r="I123" s="96">
        <f>IF(H123="ILF",IF($C$1="预估功能点",'模板使用说明&amp;基础参数'!$E$15,7),IF(H123="EIF",IF($C$1="预估功能点",'模板使用说明&amp;基础参数'!$E$16,5),IF(H123="EI",IF($C$1="预估功能点",'模板使用说明&amp;基础参数'!$E$17,'模板使用说明&amp;基础参数'!$E$24),IF(H123="EO",IF($C$1="预估功能点",'模板使用说明&amp;基础参数'!$E$18,'模板使用说明&amp;基础参数'!$E$25),IF(H123="EQ",IF($C$1="预估功能点",'模板使用说明&amp;基础参数'!$E$19,'模板使用说明&amp;基础参数'!$E$26),"")))))</f>
        <v>4</v>
      </c>
      <c r="J123" s="97" t="s">
        <v>38</v>
      </c>
      <c r="K123" s="97" t="s">
        <v>78</v>
      </c>
      <c r="L123" s="98">
        <f>IF(I123="","",IF(J123="高",IF(K123="删除",I123*'模板使用说明&amp;基础参数'!$E$5*'模板使用说明&amp;基础参数'!$E$12,IF(K123="修改",I123*'模板使用说明&amp;基础参数'!$E$5*'模板使用说明&amp;基础参数'!$E$11,I123*'模板使用说明&amp;基础参数'!$E$5*'模板使用说明&amp;基础参数'!$E$10)),IF(J123="中",IF(K123="删除",I123*'模板使用说明&amp;基础参数'!$E$6*'模板使用说明&amp;基础参数'!$E$12,IF(K123="修改",I123*'模板使用说明&amp;基础参数'!$E$6*'模板使用说明&amp;基础参数'!$E$11,I123*'模板使用说明&amp;基础参数'!$E$6*'模板使用说明&amp;基础参数'!$E$10)),IF(K123="删除",I123*'模板使用说明&amp;基础参数'!$E$7*'模板使用说明&amp;基础参数'!$E$12,IF(K123="修改",I123*'模板使用说明&amp;基础参数'!$E$7*'模板使用说明&amp;基础参数'!$E$11,I123*'模板使用说明&amp;基础参数'!$E$7*'模板使用说明&amp;基础参数'!$E$10)))))</f>
        <v>1.06666666666667</v>
      </c>
      <c r="M123" s="95"/>
      <c r="N123" s="99"/>
      <c r="O123" s="100"/>
    </row>
    <row r="124" s="70" customFormat="1" ht="25" customHeight="1" spans="1:15">
      <c r="A124" s="93">
        <v>119</v>
      </c>
      <c r="B124" s="94" t="s">
        <v>72</v>
      </c>
      <c r="C124" s="95" t="s">
        <v>276</v>
      </c>
      <c r="D124" s="95" t="s">
        <v>277</v>
      </c>
      <c r="E124" s="95" t="s">
        <v>277</v>
      </c>
      <c r="F124" s="95" t="s">
        <v>324</v>
      </c>
      <c r="G124" s="95" t="s">
        <v>325</v>
      </c>
      <c r="H124" s="93" t="s">
        <v>84</v>
      </c>
      <c r="I124" s="96">
        <f>IF(H124="ILF",IF($C$1="预估功能点",'模板使用说明&amp;基础参数'!$E$15,7),IF(H124="EIF",IF($C$1="预估功能点",'模板使用说明&amp;基础参数'!$E$16,5),IF(H124="EI",IF($C$1="预估功能点",'模板使用说明&amp;基础参数'!$E$17,'模板使用说明&amp;基础参数'!$E$24),IF(H124="EO",IF($C$1="预估功能点",'模板使用说明&amp;基础参数'!$E$18,'模板使用说明&amp;基础参数'!$E$25),IF(H124="EQ",IF($C$1="预估功能点",'模板使用说明&amp;基础参数'!$E$19,'模板使用说明&amp;基础参数'!$E$26),"")))))</f>
        <v>4</v>
      </c>
      <c r="J124" s="97" t="s">
        <v>38</v>
      </c>
      <c r="K124" s="97" t="s">
        <v>78</v>
      </c>
      <c r="L124" s="98">
        <f>IF(I124="","",IF(J124="高",IF(K124="删除",I124*'模板使用说明&amp;基础参数'!$E$5*'模板使用说明&amp;基础参数'!$E$12,IF(K124="修改",I124*'模板使用说明&amp;基础参数'!$E$5*'模板使用说明&amp;基础参数'!$E$11,I124*'模板使用说明&amp;基础参数'!$E$5*'模板使用说明&amp;基础参数'!$E$10)),IF(J124="中",IF(K124="删除",I124*'模板使用说明&amp;基础参数'!$E$6*'模板使用说明&amp;基础参数'!$E$12,IF(K124="修改",I124*'模板使用说明&amp;基础参数'!$E$6*'模板使用说明&amp;基础参数'!$E$11,I124*'模板使用说明&amp;基础参数'!$E$6*'模板使用说明&amp;基础参数'!$E$10)),IF(K124="删除",I124*'模板使用说明&amp;基础参数'!$E$7*'模板使用说明&amp;基础参数'!$E$12,IF(K124="修改",I124*'模板使用说明&amp;基础参数'!$E$7*'模板使用说明&amp;基础参数'!$E$11,I124*'模板使用说明&amp;基础参数'!$E$7*'模板使用说明&amp;基础参数'!$E$10)))))</f>
        <v>1.06666666666667</v>
      </c>
      <c r="M124" s="95"/>
      <c r="N124" s="99"/>
      <c r="O124" s="100"/>
    </row>
    <row r="125" s="70" customFormat="1" ht="25" customHeight="1" spans="1:15">
      <c r="A125" s="93">
        <v>120</v>
      </c>
      <c r="B125" s="94" t="s">
        <v>72</v>
      </c>
      <c r="C125" s="95" t="s">
        <v>276</v>
      </c>
      <c r="D125" s="95" t="s">
        <v>277</v>
      </c>
      <c r="E125" s="95" t="s">
        <v>277</v>
      </c>
      <c r="F125" s="95" t="s">
        <v>326</v>
      </c>
      <c r="G125" s="95" t="s">
        <v>327</v>
      </c>
      <c r="H125" s="93" t="s">
        <v>84</v>
      </c>
      <c r="I125" s="96">
        <f>IF(H125="ILF",IF($C$1="预估功能点",'模板使用说明&amp;基础参数'!$E$15,7),IF(H125="EIF",IF($C$1="预估功能点",'模板使用说明&amp;基础参数'!$E$16,5),IF(H125="EI",IF($C$1="预估功能点",'模板使用说明&amp;基础参数'!$E$17,'模板使用说明&amp;基础参数'!$E$24),IF(H125="EO",IF($C$1="预估功能点",'模板使用说明&amp;基础参数'!$E$18,'模板使用说明&amp;基础参数'!$E$25),IF(H125="EQ",IF($C$1="预估功能点",'模板使用说明&amp;基础参数'!$E$19,'模板使用说明&amp;基础参数'!$E$26),"")))))</f>
        <v>4</v>
      </c>
      <c r="J125" s="97" t="s">
        <v>38</v>
      </c>
      <c r="K125" s="97" t="s">
        <v>78</v>
      </c>
      <c r="L125" s="98">
        <f>IF(I125="","",IF(J125="高",IF(K125="删除",I125*'模板使用说明&amp;基础参数'!$E$5*'模板使用说明&amp;基础参数'!$E$12,IF(K125="修改",I125*'模板使用说明&amp;基础参数'!$E$5*'模板使用说明&amp;基础参数'!$E$11,I125*'模板使用说明&amp;基础参数'!$E$5*'模板使用说明&amp;基础参数'!$E$10)),IF(J125="中",IF(K125="删除",I125*'模板使用说明&amp;基础参数'!$E$6*'模板使用说明&amp;基础参数'!$E$12,IF(K125="修改",I125*'模板使用说明&amp;基础参数'!$E$6*'模板使用说明&amp;基础参数'!$E$11,I125*'模板使用说明&amp;基础参数'!$E$6*'模板使用说明&amp;基础参数'!$E$10)),IF(K125="删除",I125*'模板使用说明&amp;基础参数'!$E$7*'模板使用说明&amp;基础参数'!$E$12,IF(K125="修改",I125*'模板使用说明&amp;基础参数'!$E$7*'模板使用说明&amp;基础参数'!$E$11,I125*'模板使用说明&amp;基础参数'!$E$7*'模板使用说明&amp;基础参数'!$E$10)))))</f>
        <v>1.06666666666667</v>
      </c>
      <c r="M125" s="95"/>
      <c r="N125" s="99"/>
      <c r="O125" s="100"/>
    </row>
    <row r="126" s="70" customFormat="1" ht="25" customHeight="1" spans="1:15">
      <c r="A126" s="93">
        <v>121</v>
      </c>
      <c r="B126" s="94" t="s">
        <v>72</v>
      </c>
      <c r="C126" s="95" t="s">
        <v>276</v>
      </c>
      <c r="D126" s="95" t="s">
        <v>277</v>
      </c>
      <c r="E126" s="95" t="s">
        <v>277</v>
      </c>
      <c r="F126" s="95" t="s">
        <v>328</v>
      </c>
      <c r="G126" s="95" t="s">
        <v>329</v>
      </c>
      <c r="H126" s="93" t="s">
        <v>77</v>
      </c>
      <c r="I126" s="96">
        <f>IF(H126="ILF",IF($C$1="预估功能点",'模板使用说明&amp;基础参数'!$E$15,7),IF(H126="EIF",IF($C$1="预估功能点",'模板使用说明&amp;基础参数'!$E$16,5),IF(H126="EI",IF($C$1="预估功能点",'模板使用说明&amp;基础参数'!$E$17,'模板使用说明&amp;基础参数'!$E$24),IF(H126="EO",IF($C$1="预估功能点",'模板使用说明&amp;基础参数'!$E$18,'模板使用说明&amp;基础参数'!$E$25),IF(H126="EQ",IF($C$1="预估功能点",'模板使用说明&amp;基础参数'!$E$19,'模板使用说明&amp;基础参数'!$E$26),"")))))</f>
        <v>7</v>
      </c>
      <c r="J126" s="97" t="s">
        <v>38</v>
      </c>
      <c r="K126" s="97" t="s">
        <v>78</v>
      </c>
      <c r="L126" s="98">
        <f>IF(I126="","",IF(J126="高",IF(K126="删除",I126*'模板使用说明&amp;基础参数'!$E$5*'模板使用说明&amp;基础参数'!$E$12,IF(K126="修改",I126*'模板使用说明&amp;基础参数'!$E$5*'模板使用说明&amp;基础参数'!$E$11,I126*'模板使用说明&amp;基础参数'!$E$5*'模板使用说明&amp;基础参数'!$E$10)),IF(J126="中",IF(K126="删除",I126*'模板使用说明&amp;基础参数'!$E$6*'模板使用说明&amp;基础参数'!$E$12,IF(K126="修改",I126*'模板使用说明&amp;基础参数'!$E$6*'模板使用说明&amp;基础参数'!$E$11,I126*'模板使用说明&amp;基础参数'!$E$6*'模板使用说明&amp;基础参数'!$E$10)),IF(K126="删除",I126*'模板使用说明&amp;基础参数'!$E$7*'模板使用说明&amp;基础参数'!$E$12,IF(K126="修改",I126*'模板使用说明&amp;基础参数'!$E$7*'模板使用说明&amp;基础参数'!$E$11,I126*'模板使用说明&amp;基础参数'!$E$7*'模板使用说明&amp;基础参数'!$E$10)))))</f>
        <v>1.86666666666666</v>
      </c>
      <c r="M126" s="95"/>
      <c r="N126" s="99"/>
      <c r="O126" s="100"/>
    </row>
    <row r="127" s="70" customFormat="1" ht="25" customHeight="1" spans="1:15">
      <c r="A127" s="93">
        <v>122</v>
      </c>
      <c r="B127" s="94" t="s">
        <v>72</v>
      </c>
      <c r="C127" s="95" t="s">
        <v>276</v>
      </c>
      <c r="D127" s="95" t="s">
        <v>277</v>
      </c>
      <c r="E127" s="95" t="s">
        <v>277</v>
      </c>
      <c r="F127" s="95" t="s">
        <v>330</v>
      </c>
      <c r="G127" s="95" t="s">
        <v>331</v>
      </c>
      <c r="H127" s="93" t="s">
        <v>81</v>
      </c>
      <c r="I127" s="96">
        <f>IF(H127="ILF",IF($C$1="预估功能点",'模板使用说明&amp;基础参数'!$E$15,7),IF(H127="EIF",IF($C$1="预估功能点",'模板使用说明&amp;基础参数'!$E$16,5),IF(H127="EI",IF($C$1="预估功能点",'模板使用说明&amp;基础参数'!$E$17,'模板使用说明&amp;基础参数'!$E$24),IF(H127="EO",IF($C$1="预估功能点",'模板使用说明&amp;基础参数'!$E$18,'模板使用说明&amp;基础参数'!$E$25),IF(H127="EQ",IF($C$1="预估功能点",'模板使用说明&amp;基础参数'!$E$19,'模板使用说明&amp;基础参数'!$E$26),"")))))</f>
        <v>4</v>
      </c>
      <c r="J127" s="97" t="s">
        <v>38</v>
      </c>
      <c r="K127" s="97" t="s">
        <v>78</v>
      </c>
      <c r="L127" s="98">
        <f>IF(I127="","",IF(J127="高",IF(K127="删除",I127*'模板使用说明&amp;基础参数'!$E$5*'模板使用说明&amp;基础参数'!$E$12,IF(K127="修改",I127*'模板使用说明&amp;基础参数'!$E$5*'模板使用说明&amp;基础参数'!$E$11,I127*'模板使用说明&amp;基础参数'!$E$5*'模板使用说明&amp;基础参数'!$E$10)),IF(J127="中",IF(K127="删除",I127*'模板使用说明&amp;基础参数'!$E$6*'模板使用说明&amp;基础参数'!$E$12,IF(K127="修改",I127*'模板使用说明&amp;基础参数'!$E$6*'模板使用说明&amp;基础参数'!$E$11,I127*'模板使用说明&amp;基础参数'!$E$6*'模板使用说明&amp;基础参数'!$E$10)),IF(K127="删除",I127*'模板使用说明&amp;基础参数'!$E$7*'模板使用说明&amp;基础参数'!$E$12,IF(K127="修改",I127*'模板使用说明&amp;基础参数'!$E$7*'模板使用说明&amp;基础参数'!$E$11,I127*'模板使用说明&amp;基础参数'!$E$7*'模板使用说明&amp;基础参数'!$E$10)))))</f>
        <v>1.06666666666667</v>
      </c>
      <c r="M127" s="95"/>
      <c r="N127" s="99"/>
      <c r="O127" s="100"/>
    </row>
    <row r="128" s="70" customFormat="1" ht="25" customHeight="1" spans="1:15">
      <c r="A128" s="93">
        <v>123</v>
      </c>
      <c r="B128" s="94" t="s">
        <v>72</v>
      </c>
      <c r="C128" s="95" t="s">
        <v>276</v>
      </c>
      <c r="D128" s="95" t="s">
        <v>277</v>
      </c>
      <c r="E128" s="95" t="s">
        <v>277</v>
      </c>
      <c r="F128" s="95" t="s">
        <v>332</v>
      </c>
      <c r="G128" s="95" t="s">
        <v>333</v>
      </c>
      <c r="H128" s="93" t="s">
        <v>84</v>
      </c>
      <c r="I128" s="96">
        <f>IF(H128="ILF",IF($C$1="预估功能点",'模板使用说明&amp;基础参数'!$E$15,7),IF(H128="EIF",IF($C$1="预估功能点",'模板使用说明&amp;基础参数'!$E$16,5),IF(H128="EI",IF($C$1="预估功能点",'模板使用说明&amp;基础参数'!$E$17,'模板使用说明&amp;基础参数'!$E$24),IF(H128="EO",IF($C$1="预估功能点",'模板使用说明&amp;基础参数'!$E$18,'模板使用说明&amp;基础参数'!$E$25),IF(H128="EQ",IF($C$1="预估功能点",'模板使用说明&amp;基础参数'!$E$19,'模板使用说明&amp;基础参数'!$E$26),"")))))</f>
        <v>4</v>
      </c>
      <c r="J128" s="97" t="s">
        <v>38</v>
      </c>
      <c r="K128" s="97" t="s">
        <v>78</v>
      </c>
      <c r="L128" s="98">
        <f>IF(I128="","",IF(J128="高",IF(K128="删除",I128*'模板使用说明&amp;基础参数'!$E$5*'模板使用说明&amp;基础参数'!$E$12,IF(K128="修改",I128*'模板使用说明&amp;基础参数'!$E$5*'模板使用说明&amp;基础参数'!$E$11,I128*'模板使用说明&amp;基础参数'!$E$5*'模板使用说明&amp;基础参数'!$E$10)),IF(J128="中",IF(K128="删除",I128*'模板使用说明&amp;基础参数'!$E$6*'模板使用说明&amp;基础参数'!$E$12,IF(K128="修改",I128*'模板使用说明&amp;基础参数'!$E$6*'模板使用说明&amp;基础参数'!$E$11,I128*'模板使用说明&amp;基础参数'!$E$6*'模板使用说明&amp;基础参数'!$E$10)),IF(K128="删除",I128*'模板使用说明&amp;基础参数'!$E$7*'模板使用说明&amp;基础参数'!$E$12,IF(K128="修改",I128*'模板使用说明&amp;基础参数'!$E$7*'模板使用说明&amp;基础参数'!$E$11,I128*'模板使用说明&amp;基础参数'!$E$7*'模板使用说明&amp;基础参数'!$E$10)))))</f>
        <v>1.06666666666667</v>
      </c>
      <c r="M128" s="95"/>
      <c r="N128" s="99"/>
      <c r="O128" s="100"/>
    </row>
    <row r="129" s="70" customFormat="1" ht="25" customHeight="1" spans="1:15">
      <c r="A129" s="93">
        <v>124</v>
      </c>
      <c r="B129" s="94" t="s">
        <v>72</v>
      </c>
      <c r="C129" s="95" t="s">
        <v>276</v>
      </c>
      <c r="D129" s="95" t="s">
        <v>277</v>
      </c>
      <c r="E129" s="95" t="s">
        <v>277</v>
      </c>
      <c r="F129" s="95" t="s">
        <v>334</v>
      </c>
      <c r="G129" s="95" t="s">
        <v>335</v>
      </c>
      <c r="H129" s="93" t="s">
        <v>84</v>
      </c>
      <c r="I129" s="96">
        <f>IF(H129="ILF",IF($C$1="预估功能点",'模板使用说明&amp;基础参数'!$E$15,7),IF(H129="EIF",IF($C$1="预估功能点",'模板使用说明&amp;基础参数'!$E$16,5),IF(H129="EI",IF($C$1="预估功能点",'模板使用说明&amp;基础参数'!$E$17,'模板使用说明&amp;基础参数'!$E$24),IF(H129="EO",IF($C$1="预估功能点",'模板使用说明&amp;基础参数'!$E$18,'模板使用说明&amp;基础参数'!$E$25),IF(H129="EQ",IF($C$1="预估功能点",'模板使用说明&amp;基础参数'!$E$19,'模板使用说明&amp;基础参数'!$E$26),"")))))</f>
        <v>4</v>
      </c>
      <c r="J129" s="97" t="s">
        <v>38</v>
      </c>
      <c r="K129" s="97" t="s">
        <v>78</v>
      </c>
      <c r="L129" s="98">
        <f>IF(I129="","",IF(J129="高",IF(K129="删除",I129*'模板使用说明&amp;基础参数'!$E$5*'模板使用说明&amp;基础参数'!$E$12,IF(K129="修改",I129*'模板使用说明&amp;基础参数'!$E$5*'模板使用说明&amp;基础参数'!$E$11,I129*'模板使用说明&amp;基础参数'!$E$5*'模板使用说明&amp;基础参数'!$E$10)),IF(J129="中",IF(K129="删除",I129*'模板使用说明&amp;基础参数'!$E$6*'模板使用说明&amp;基础参数'!$E$12,IF(K129="修改",I129*'模板使用说明&amp;基础参数'!$E$6*'模板使用说明&amp;基础参数'!$E$11,I129*'模板使用说明&amp;基础参数'!$E$6*'模板使用说明&amp;基础参数'!$E$10)),IF(K129="删除",I129*'模板使用说明&amp;基础参数'!$E$7*'模板使用说明&amp;基础参数'!$E$12,IF(K129="修改",I129*'模板使用说明&amp;基础参数'!$E$7*'模板使用说明&amp;基础参数'!$E$11,I129*'模板使用说明&amp;基础参数'!$E$7*'模板使用说明&amp;基础参数'!$E$10)))))</f>
        <v>1.06666666666667</v>
      </c>
      <c r="M129" s="95"/>
      <c r="N129" s="99"/>
      <c r="O129" s="100"/>
    </row>
    <row r="130" s="70" customFormat="1" ht="25" customHeight="1" spans="1:15">
      <c r="A130" s="93">
        <v>125</v>
      </c>
      <c r="B130" s="94" t="s">
        <v>72</v>
      </c>
      <c r="C130" s="95" t="s">
        <v>276</v>
      </c>
      <c r="D130" s="95" t="s">
        <v>277</v>
      </c>
      <c r="E130" s="95" t="s">
        <v>277</v>
      </c>
      <c r="F130" s="95" t="s">
        <v>336</v>
      </c>
      <c r="G130" s="95" t="s">
        <v>337</v>
      </c>
      <c r="H130" s="93" t="s">
        <v>84</v>
      </c>
      <c r="I130" s="96">
        <f>IF(H130="ILF",IF($C$1="预估功能点",'模板使用说明&amp;基础参数'!$E$15,7),IF(H130="EIF",IF($C$1="预估功能点",'模板使用说明&amp;基础参数'!$E$16,5),IF(H130="EI",IF($C$1="预估功能点",'模板使用说明&amp;基础参数'!$E$17,'模板使用说明&amp;基础参数'!$E$24),IF(H130="EO",IF($C$1="预估功能点",'模板使用说明&amp;基础参数'!$E$18,'模板使用说明&amp;基础参数'!$E$25),IF(H130="EQ",IF($C$1="预估功能点",'模板使用说明&amp;基础参数'!$E$19,'模板使用说明&amp;基础参数'!$E$26),"")))))</f>
        <v>4</v>
      </c>
      <c r="J130" s="97" t="s">
        <v>38</v>
      </c>
      <c r="K130" s="97" t="s">
        <v>78</v>
      </c>
      <c r="L130" s="98">
        <f>IF(I130="","",IF(J130="高",IF(K130="删除",I130*'模板使用说明&amp;基础参数'!$E$5*'模板使用说明&amp;基础参数'!$E$12,IF(K130="修改",I130*'模板使用说明&amp;基础参数'!$E$5*'模板使用说明&amp;基础参数'!$E$11,I130*'模板使用说明&amp;基础参数'!$E$5*'模板使用说明&amp;基础参数'!$E$10)),IF(J130="中",IF(K130="删除",I130*'模板使用说明&amp;基础参数'!$E$6*'模板使用说明&amp;基础参数'!$E$12,IF(K130="修改",I130*'模板使用说明&amp;基础参数'!$E$6*'模板使用说明&amp;基础参数'!$E$11,I130*'模板使用说明&amp;基础参数'!$E$6*'模板使用说明&amp;基础参数'!$E$10)),IF(K130="删除",I130*'模板使用说明&amp;基础参数'!$E$7*'模板使用说明&amp;基础参数'!$E$12,IF(K130="修改",I130*'模板使用说明&amp;基础参数'!$E$7*'模板使用说明&amp;基础参数'!$E$11,I130*'模板使用说明&amp;基础参数'!$E$7*'模板使用说明&amp;基础参数'!$E$10)))))</f>
        <v>1.06666666666667</v>
      </c>
      <c r="M130" s="95"/>
      <c r="N130" s="99"/>
      <c r="O130" s="100"/>
    </row>
    <row r="131" s="70" customFormat="1" ht="25" customHeight="1" spans="1:15">
      <c r="A131" s="93">
        <v>126</v>
      </c>
      <c r="B131" s="94" t="s">
        <v>72</v>
      </c>
      <c r="C131" s="95" t="s">
        <v>276</v>
      </c>
      <c r="D131" s="95" t="s">
        <v>277</v>
      </c>
      <c r="E131" s="95" t="s">
        <v>277</v>
      </c>
      <c r="F131" s="95" t="s">
        <v>338</v>
      </c>
      <c r="G131" s="95" t="s">
        <v>339</v>
      </c>
      <c r="H131" s="93" t="s">
        <v>77</v>
      </c>
      <c r="I131" s="96">
        <f>IF(H131="ILF",IF($C$1="预估功能点",'模板使用说明&amp;基础参数'!$E$15,7),IF(H131="EIF",IF($C$1="预估功能点",'模板使用说明&amp;基础参数'!$E$16,5),IF(H131="EI",IF($C$1="预估功能点",'模板使用说明&amp;基础参数'!$E$17,'模板使用说明&amp;基础参数'!$E$24),IF(H131="EO",IF($C$1="预估功能点",'模板使用说明&amp;基础参数'!$E$18,'模板使用说明&amp;基础参数'!$E$25),IF(H131="EQ",IF($C$1="预估功能点",'模板使用说明&amp;基础参数'!$E$19,'模板使用说明&amp;基础参数'!$E$26),"")))))</f>
        <v>7</v>
      </c>
      <c r="J131" s="97" t="s">
        <v>38</v>
      </c>
      <c r="K131" s="97" t="s">
        <v>78</v>
      </c>
      <c r="L131" s="98">
        <f>IF(I131="","",IF(J131="高",IF(K131="删除",I131*'模板使用说明&amp;基础参数'!$E$5*'模板使用说明&amp;基础参数'!$E$12,IF(K131="修改",I131*'模板使用说明&amp;基础参数'!$E$5*'模板使用说明&amp;基础参数'!$E$11,I131*'模板使用说明&amp;基础参数'!$E$5*'模板使用说明&amp;基础参数'!$E$10)),IF(J131="中",IF(K131="删除",I131*'模板使用说明&amp;基础参数'!$E$6*'模板使用说明&amp;基础参数'!$E$12,IF(K131="修改",I131*'模板使用说明&amp;基础参数'!$E$6*'模板使用说明&amp;基础参数'!$E$11,I131*'模板使用说明&amp;基础参数'!$E$6*'模板使用说明&amp;基础参数'!$E$10)),IF(K131="删除",I131*'模板使用说明&amp;基础参数'!$E$7*'模板使用说明&amp;基础参数'!$E$12,IF(K131="修改",I131*'模板使用说明&amp;基础参数'!$E$7*'模板使用说明&amp;基础参数'!$E$11,I131*'模板使用说明&amp;基础参数'!$E$7*'模板使用说明&amp;基础参数'!$E$10)))))</f>
        <v>1.86666666666666</v>
      </c>
      <c r="M131" s="95"/>
      <c r="N131" s="99"/>
      <c r="O131" s="100"/>
    </row>
    <row r="132" s="70" customFormat="1" ht="25" customHeight="1" spans="1:15">
      <c r="A132" s="93">
        <v>127</v>
      </c>
      <c r="B132" s="94" t="s">
        <v>72</v>
      </c>
      <c r="C132" s="95" t="s">
        <v>276</v>
      </c>
      <c r="D132" s="95" t="s">
        <v>277</v>
      </c>
      <c r="E132" s="95" t="s">
        <v>277</v>
      </c>
      <c r="F132" s="95" t="s">
        <v>340</v>
      </c>
      <c r="G132" s="95" t="s">
        <v>341</v>
      </c>
      <c r="H132" s="93" t="s">
        <v>81</v>
      </c>
      <c r="I132" s="96">
        <f>IF(H132="ILF",IF($C$1="预估功能点",'模板使用说明&amp;基础参数'!$E$15,7),IF(H132="EIF",IF($C$1="预估功能点",'模板使用说明&amp;基础参数'!$E$16,5),IF(H132="EI",IF($C$1="预估功能点",'模板使用说明&amp;基础参数'!$E$17,'模板使用说明&amp;基础参数'!$E$24),IF(H132="EO",IF($C$1="预估功能点",'模板使用说明&amp;基础参数'!$E$18,'模板使用说明&amp;基础参数'!$E$25),IF(H132="EQ",IF($C$1="预估功能点",'模板使用说明&amp;基础参数'!$E$19,'模板使用说明&amp;基础参数'!$E$26),"")))))</f>
        <v>4</v>
      </c>
      <c r="J132" s="97" t="s">
        <v>38</v>
      </c>
      <c r="K132" s="97" t="s">
        <v>78</v>
      </c>
      <c r="L132" s="98">
        <f>IF(I132="","",IF(J132="高",IF(K132="删除",I132*'模板使用说明&amp;基础参数'!$E$5*'模板使用说明&amp;基础参数'!$E$12,IF(K132="修改",I132*'模板使用说明&amp;基础参数'!$E$5*'模板使用说明&amp;基础参数'!$E$11,I132*'模板使用说明&amp;基础参数'!$E$5*'模板使用说明&amp;基础参数'!$E$10)),IF(J132="中",IF(K132="删除",I132*'模板使用说明&amp;基础参数'!$E$6*'模板使用说明&amp;基础参数'!$E$12,IF(K132="修改",I132*'模板使用说明&amp;基础参数'!$E$6*'模板使用说明&amp;基础参数'!$E$11,I132*'模板使用说明&amp;基础参数'!$E$6*'模板使用说明&amp;基础参数'!$E$10)),IF(K132="删除",I132*'模板使用说明&amp;基础参数'!$E$7*'模板使用说明&amp;基础参数'!$E$12,IF(K132="修改",I132*'模板使用说明&amp;基础参数'!$E$7*'模板使用说明&amp;基础参数'!$E$11,I132*'模板使用说明&amp;基础参数'!$E$7*'模板使用说明&amp;基础参数'!$E$10)))))</f>
        <v>1.06666666666667</v>
      </c>
      <c r="M132" s="95"/>
      <c r="N132" s="99"/>
      <c r="O132" s="100"/>
    </row>
    <row r="133" s="70" customFormat="1" ht="25" customHeight="1" spans="1:15">
      <c r="A133" s="93">
        <v>128</v>
      </c>
      <c r="B133" s="94" t="s">
        <v>72</v>
      </c>
      <c r="C133" s="95" t="s">
        <v>276</v>
      </c>
      <c r="D133" s="95" t="s">
        <v>277</v>
      </c>
      <c r="E133" s="95" t="s">
        <v>277</v>
      </c>
      <c r="F133" s="95" t="s">
        <v>342</v>
      </c>
      <c r="G133" s="95" t="s">
        <v>343</v>
      </c>
      <c r="H133" s="93" t="s">
        <v>84</v>
      </c>
      <c r="I133" s="96">
        <f>IF(H133="ILF",IF($C$1="预估功能点",'模板使用说明&amp;基础参数'!$E$15,7),IF(H133="EIF",IF($C$1="预估功能点",'模板使用说明&amp;基础参数'!$E$16,5),IF(H133="EI",IF($C$1="预估功能点",'模板使用说明&amp;基础参数'!$E$17,'模板使用说明&amp;基础参数'!$E$24),IF(H133="EO",IF($C$1="预估功能点",'模板使用说明&amp;基础参数'!$E$18,'模板使用说明&amp;基础参数'!$E$25),IF(H133="EQ",IF($C$1="预估功能点",'模板使用说明&amp;基础参数'!$E$19,'模板使用说明&amp;基础参数'!$E$26),"")))))</f>
        <v>4</v>
      </c>
      <c r="J133" s="97" t="s">
        <v>38</v>
      </c>
      <c r="K133" s="97" t="s">
        <v>78</v>
      </c>
      <c r="L133" s="98">
        <f>IF(I133="","",IF(J133="高",IF(K133="删除",I133*'模板使用说明&amp;基础参数'!$E$5*'模板使用说明&amp;基础参数'!$E$12,IF(K133="修改",I133*'模板使用说明&amp;基础参数'!$E$5*'模板使用说明&amp;基础参数'!$E$11,I133*'模板使用说明&amp;基础参数'!$E$5*'模板使用说明&amp;基础参数'!$E$10)),IF(J133="中",IF(K133="删除",I133*'模板使用说明&amp;基础参数'!$E$6*'模板使用说明&amp;基础参数'!$E$12,IF(K133="修改",I133*'模板使用说明&amp;基础参数'!$E$6*'模板使用说明&amp;基础参数'!$E$11,I133*'模板使用说明&amp;基础参数'!$E$6*'模板使用说明&amp;基础参数'!$E$10)),IF(K133="删除",I133*'模板使用说明&amp;基础参数'!$E$7*'模板使用说明&amp;基础参数'!$E$12,IF(K133="修改",I133*'模板使用说明&amp;基础参数'!$E$7*'模板使用说明&amp;基础参数'!$E$11,I133*'模板使用说明&amp;基础参数'!$E$7*'模板使用说明&amp;基础参数'!$E$10)))))</f>
        <v>1.06666666666667</v>
      </c>
      <c r="M133" s="95"/>
      <c r="N133" s="99"/>
      <c r="O133" s="100"/>
    </row>
    <row r="134" s="70" customFormat="1" ht="25" customHeight="1" spans="1:15">
      <c r="A134" s="93">
        <v>129</v>
      </c>
      <c r="B134" s="94" t="s">
        <v>72</v>
      </c>
      <c r="C134" s="95" t="s">
        <v>276</v>
      </c>
      <c r="D134" s="95" t="s">
        <v>277</v>
      </c>
      <c r="E134" s="95" t="s">
        <v>277</v>
      </c>
      <c r="F134" s="95" t="s">
        <v>344</v>
      </c>
      <c r="G134" s="95" t="s">
        <v>345</v>
      </c>
      <c r="H134" s="93" t="s">
        <v>84</v>
      </c>
      <c r="I134" s="96">
        <f>IF(H134="ILF",IF($C$1="预估功能点",'模板使用说明&amp;基础参数'!$E$15,7),IF(H134="EIF",IF($C$1="预估功能点",'模板使用说明&amp;基础参数'!$E$16,5),IF(H134="EI",IF($C$1="预估功能点",'模板使用说明&amp;基础参数'!$E$17,'模板使用说明&amp;基础参数'!$E$24),IF(H134="EO",IF($C$1="预估功能点",'模板使用说明&amp;基础参数'!$E$18,'模板使用说明&amp;基础参数'!$E$25),IF(H134="EQ",IF($C$1="预估功能点",'模板使用说明&amp;基础参数'!$E$19,'模板使用说明&amp;基础参数'!$E$26),"")))))</f>
        <v>4</v>
      </c>
      <c r="J134" s="97" t="s">
        <v>38</v>
      </c>
      <c r="K134" s="97" t="s">
        <v>78</v>
      </c>
      <c r="L134" s="98">
        <f>IF(I134="","",IF(J134="高",IF(K134="删除",I134*'模板使用说明&amp;基础参数'!$E$5*'模板使用说明&amp;基础参数'!$E$12,IF(K134="修改",I134*'模板使用说明&amp;基础参数'!$E$5*'模板使用说明&amp;基础参数'!$E$11,I134*'模板使用说明&amp;基础参数'!$E$5*'模板使用说明&amp;基础参数'!$E$10)),IF(J134="中",IF(K134="删除",I134*'模板使用说明&amp;基础参数'!$E$6*'模板使用说明&amp;基础参数'!$E$12,IF(K134="修改",I134*'模板使用说明&amp;基础参数'!$E$6*'模板使用说明&amp;基础参数'!$E$11,I134*'模板使用说明&amp;基础参数'!$E$6*'模板使用说明&amp;基础参数'!$E$10)),IF(K134="删除",I134*'模板使用说明&amp;基础参数'!$E$7*'模板使用说明&amp;基础参数'!$E$12,IF(K134="修改",I134*'模板使用说明&amp;基础参数'!$E$7*'模板使用说明&amp;基础参数'!$E$11,I134*'模板使用说明&amp;基础参数'!$E$7*'模板使用说明&amp;基础参数'!$E$10)))))</f>
        <v>1.06666666666667</v>
      </c>
      <c r="M134" s="95"/>
      <c r="N134" s="99"/>
      <c r="O134" s="100"/>
    </row>
    <row r="135" s="70" customFormat="1" ht="25" customHeight="1" spans="1:15">
      <c r="A135" s="93">
        <v>130</v>
      </c>
      <c r="B135" s="94" t="s">
        <v>72</v>
      </c>
      <c r="C135" s="95" t="s">
        <v>276</v>
      </c>
      <c r="D135" s="95" t="s">
        <v>277</v>
      </c>
      <c r="E135" s="95" t="s">
        <v>277</v>
      </c>
      <c r="F135" s="95" t="s">
        <v>346</v>
      </c>
      <c r="G135" s="95" t="s">
        <v>347</v>
      </c>
      <c r="H135" s="93" t="s">
        <v>84</v>
      </c>
      <c r="I135" s="96">
        <f>IF(H135="ILF",IF($C$1="预估功能点",'模板使用说明&amp;基础参数'!$E$15,7),IF(H135="EIF",IF($C$1="预估功能点",'模板使用说明&amp;基础参数'!$E$16,5),IF(H135="EI",IF($C$1="预估功能点",'模板使用说明&amp;基础参数'!$E$17,'模板使用说明&amp;基础参数'!$E$24),IF(H135="EO",IF($C$1="预估功能点",'模板使用说明&amp;基础参数'!$E$18,'模板使用说明&amp;基础参数'!$E$25),IF(H135="EQ",IF($C$1="预估功能点",'模板使用说明&amp;基础参数'!$E$19,'模板使用说明&amp;基础参数'!$E$26),"")))))</f>
        <v>4</v>
      </c>
      <c r="J135" s="97" t="s">
        <v>38</v>
      </c>
      <c r="K135" s="97" t="s">
        <v>78</v>
      </c>
      <c r="L135" s="98">
        <f>IF(I135="","",IF(J135="高",IF(K135="删除",I135*'模板使用说明&amp;基础参数'!$E$5*'模板使用说明&amp;基础参数'!$E$12,IF(K135="修改",I135*'模板使用说明&amp;基础参数'!$E$5*'模板使用说明&amp;基础参数'!$E$11,I135*'模板使用说明&amp;基础参数'!$E$5*'模板使用说明&amp;基础参数'!$E$10)),IF(J135="中",IF(K135="删除",I135*'模板使用说明&amp;基础参数'!$E$6*'模板使用说明&amp;基础参数'!$E$12,IF(K135="修改",I135*'模板使用说明&amp;基础参数'!$E$6*'模板使用说明&amp;基础参数'!$E$11,I135*'模板使用说明&amp;基础参数'!$E$6*'模板使用说明&amp;基础参数'!$E$10)),IF(K135="删除",I135*'模板使用说明&amp;基础参数'!$E$7*'模板使用说明&amp;基础参数'!$E$12,IF(K135="修改",I135*'模板使用说明&amp;基础参数'!$E$7*'模板使用说明&amp;基础参数'!$E$11,I135*'模板使用说明&amp;基础参数'!$E$7*'模板使用说明&amp;基础参数'!$E$10)))))</f>
        <v>1.06666666666667</v>
      </c>
      <c r="M135" s="95"/>
      <c r="N135" s="99"/>
      <c r="O135" s="100"/>
    </row>
    <row r="136" s="70" customFormat="1" ht="25" customHeight="1" spans="1:15">
      <c r="A136" s="93">
        <v>131</v>
      </c>
      <c r="B136" s="94" t="s">
        <v>72</v>
      </c>
      <c r="C136" s="95" t="s">
        <v>276</v>
      </c>
      <c r="D136" s="95" t="s">
        <v>277</v>
      </c>
      <c r="E136" s="95" t="s">
        <v>277</v>
      </c>
      <c r="F136" s="95" t="s">
        <v>348</v>
      </c>
      <c r="G136" s="95" t="s">
        <v>349</v>
      </c>
      <c r="H136" s="93" t="s">
        <v>77</v>
      </c>
      <c r="I136" s="96">
        <f>IF(H136="ILF",IF($C$1="预估功能点",'模板使用说明&amp;基础参数'!$E$15,7),IF(H136="EIF",IF($C$1="预估功能点",'模板使用说明&amp;基础参数'!$E$16,5),IF(H136="EI",IF($C$1="预估功能点",'模板使用说明&amp;基础参数'!$E$17,'模板使用说明&amp;基础参数'!$E$24),IF(H136="EO",IF($C$1="预估功能点",'模板使用说明&amp;基础参数'!$E$18,'模板使用说明&amp;基础参数'!$E$25),IF(H136="EQ",IF($C$1="预估功能点",'模板使用说明&amp;基础参数'!$E$19,'模板使用说明&amp;基础参数'!$E$26),"")))))</f>
        <v>7</v>
      </c>
      <c r="J136" s="97" t="s">
        <v>38</v>
      </c>
      <c r="K136" s="97" t="s">
        <v>78</v>
      </c>
      <c r="L136" s="98">
        <f>IF(I136="","",IF(J136="高",IF(K136="删除",I136*'模板使用说明&amp;基础参数'!$E$5*'模板使用说明&amp;基础参数'!$E$12,IF(K136="修改",I136*'模板使用说明&amp;基础参数'!$E$5*'模板使用说明&amp;基础参数'!$E$11,I136*'模板使用说明&amp;基础参数'!$E$5*'模板使用说明&amp;基础参数'!$E$10)),IF(J136="中",IF(K136="删除",I136*'模板使用说明&amp;基础参数'!$E$6*'模板使用说明&amp;基础参数'!$E$12,IF(K136="修改",I136*'模板使用说明&amp;基础参数'!$E$6*'模板使用说明&amp;基础参数'!$E$11,I136*'模板使用说明&amp;基础参数'!$E$6*'模板使用说明&amp;基础参数'!$E$10)),IF(K136="删除",I136*'模板使用说明&amp;基础参数'!$E$7*'模板使用说明&amp;基础参数'!$E$12,IF(K136="修改",I136*'模板使用说明&amp;基础参数'!$E$7*'模板使用说明&amp;基础参数'!$E$11,I136*'模板使用说明&amp;基础参数'!$E$7*'模板使用说明&amp;基础参数'!$E$10)))))</f>
        <v>1.86666666666666</v>
      </c>
      <c r="M136" s="95"/>
      <c r="N136" s="99"/>
      <c r="O136" s="100"/>
    </row>
    <row r="137" s="70" customFormat="1" ht="25" customHeight="1" spans="1:15">
      <c r="A137" s="93">
        <v>132</v>
      </c>
      <c r="B137" s="94" t="s">
        <v>72</v>
      </c>
      <c r="C137" s="95" t="s">
        <v>276</v>
      </c>
      <c r="D137" s="95" t="s">
        <v>277</v>
      </c>
      <c r="E137" s="95" t="s">
        <v>277</v>
      </c>
      <c r="F137" s="95" t="s">
        <v>350</v>
      </c>
      <c r="G137" s="95" t="s">
        <v>351</v>
      </c>
      <c r="H137" s="93" t="s">
        <v>81</v>
      </c>
      <c r="I137" s="96">
        <f>IF(H137="ILF",IF($C$1="预估功能点",'模板使用说明&amp;基础参数'!$E$15,7),IF(H137="EIF",IF($C$1="预估功能点",'模板使用说明&amp;基础参数'!$E$16,5),IF(H137="EI",IF($C$1="预估功能点",'模板使用说明&amp;基础参数'!$E$17,'模板使用说明&amp;基础参数'!$E$24),IF(H137="EO",IF($C$1="预估功能点",'模板使用说明&amp;基础参数'!$E$18,'模板使用说明&amp;基础参数'!$E$25),IF(H137="EQ",IF($C$1="预估功能点",'模板使用说明&amp;基础参数'!$E$19,'模板使用说明&amp;基础参数'!$E$26),"")))))</f>
        <v>4</v>
      </c>
      <c r="J137" s="97" t="s">
        <v>38</v>
      </c>
      <c r="K137" s="97" t="s">
        <v>78</v>
      </c>
      <c r="L137" s="98">
        <f>IF(I137="","",IF(J137="高",IF(K137="删除",I137*'模板使用说明&amp;基础参数'!$E$5*'模板使用说明&amp;基础参数'!$E$12,IF(K137="修改",I137*'模板使用说明&amp;基础参数'!$E$5*'模板使用说明&amp;基础参数'!$E$11,I137*'模板使用说明&amp;基础参数'!$E$5*'模板使用说明&amp;基础参数'!$E$10)),IF(J137="中",IF(K137="删除",I137*'模板使用说明&amp;基础参数'!$E$6*'模板使用说明&amp;基础参数'!$E$12,IF(K137="修改",I137*'模板使用说明&amp;基础参数'!$E$6*'模板使用说明&amp;基础参数'!$E$11,I137*'模板使用说明&amp;基础参数'!$E$6*'模板使用说明&amp;基础参数'!$E$10)),IF(K137="删除",I137*'模板使用说明&amp;基础参数'!$E$7*'模板使用说明&amp;基础参数'!$E$12,IF(K137="修改",I137*'模板使用说明&amp;基础参数'!$E$7*'模板使用说明&amp;基础参数'!$E$11,I137*'模板使用说明&amp;基础参数'!$E$7*'模板使用说明&amp;基础参数'!$E$10)))))</f>
        <v>1.06666666666667</v>
      </c>
      <c r="M137" s="95"/>
      <c r="N137" s="99"/>
      <c r="O137" s="100"/>
    </row>
    <row r="138" s="70" customFormat="1" ht="25" customHeight="1" spans="1:15">
      <c r="A138" s="93">
        <v>133</v>
      </c>
      <c r="B138" s="94" t="s">
        <v>72</v>
      </c>
      <c r="C138" s="95" t="s">
        <v>276</v>
      </c>
      <c r="D138" s="95" t="s">
        <v>277</v>
      </c>
      <c r="E138" s="95" t="s">
        <v>277</v>
      </c>
      <c r="F138" s="95" t="s">
        <v>352</v>
      </c>
      <c r="G138" s="95" t="s">
        <v>353</v>
      </c>
      <c r="H138" s="93" t="s">
        <v>84</v>
      </c>
      <c r="I138" s="96">
        <f>IF(H138="ILF",IF($C$1="预估功能点",'模板使用说明&amp;基础参数'!$E$15,7),IF(H138="EIF",IF($C$1="预估功能点",'模板使用说明&amp;基础参数'!$E$16,5),IF(H138="EI",IF($C$1="预估功能点",'模板使用说明&amp;基础参数'!$E$17,'模板使用说明&amp;基础参数'!$E$24),IF(H138="EO",IF($C$1="预估功能点",'模板使用说明&amp;基础参数'!$E$18,'模板使用说明&amp;基础参数'!$E$25),IF(H138="EQ",IF($C$1="预估功能点",'模板使用说明&amp;基础参数'!$E$19,'模板使用说明&amp;基础参数'!$E$26),"")))))</f>
        <v>4</v>
      </c>
      <c r="J138" s="97" t="s">
        <v>38</v>
      </c>
      <c r="K138" s="97" t="s">
        <v>78</v>
      </c>
      <c r="L138" s="98">
        <f>IF(I138="","",IF(J138="高",IF(K138="删除",I138*'模板使用说明&amp;基础参数'!$E$5*'模板使用说明&amp;基础参数'!$E$12,IF(K138="修改",I138*'模板使用说明&amp;基础参数'!$E$5*'模板使用说明&amp;基础参数'!$E$11,I138*'模板使用说明&amp;基础参数'!$E$5*'模板使用说明&amp;基础参数'!$E$10)),IF(J138="中",IF(K138="删除",I138*'模板使用说明&amp;基础参数'!$E$6*'模板使用说明&amp;基础参数'!$E$12,IF(K138="修改",I138*'模板使用说明&amp;基础参数'!$E$6*'模板使用说明&amp;基础参数'!$E$11,I138*'模板使用说明&amp;基础参数'!$E$6*'模板使用说明&amp;基础参数'!$E$10)),IF(K138="删除",I138*'模板使用说明&amp;基础参数'!$E$7*'模板使用说明&amp;基础参数'!$E$12,IF(K138="修改",I138*'模板使用说明&amp;基础参数'!$E$7*'模板使用说明&amp;基础参数'!$E$11,I138*'模板使用说明&amp;基础参数'!$E$7*'模板使用说明&amp;基础参数'!$E$10)))))</f>
        <v>1.06666666666667</v>
      </c>
      <c r="M138" s="95"/>
      <c r="N138" s="99"/>
      <c r="O138" s="100"/>
    </row>
    <row r="139" s="70" customFormat="1" ht="25" customHeight="1" spans="1:15">
      <c r="A139" s="93">
        <v>134</v>
      </c>
      <c r="B139" s="94" t="s">
        <v>72</v>
      </c>
      <c r="C139" s="95" t="s">
        <v>276</v>
      </c>
      <c r="D139" s="95" t="s">
        <v>277</v>
      </c>
      <c r="E139" s="95" t="s">
        <v>277</v>
      </c>
      <c r="F139" s="95" t="s">
        <v>354</v>
      </c>
      <c r="G139" s="95" t="s">
        <v>355</v>
      </c>
      <c r="H139" s="93" t="s">
        <v>84</v>
      </c>
      <c r="I139" s="96">
        <f>IF(H139="ILF",IF($C$1="预估功能点",'模板使用说明&amp;基础参数'!$E$15,7),IF(H139="EIF",IF($C$1="预估功能点",'模板使用说明&amp;基础参数'!$E$16,5),IF(H139="EI",IF($C$1="预估功能点",'模板使用说明&amp;基础参数'!$E$17,'模板使用说明&amp;基础参数'!$E$24),IF(H139="EO",IF($C$1="预估功能点",'模板使用说明&amp;基础参数'!$E$18,'模板使用说明&amp;基础参数'!$E$25),IF(H139="EQ",IF($C$1="预估功能点",'模板使用说明&amp;基础参数'!$E$19,'模板使用说明&amp;基础参数'!$E$26),"")))))</f>
        <v>4</v>
      </c>
      <c r="J139" s="97" t="s">
        <v>38</v>
      </c>
      <c r="K139" s="97" t="s">
        <v>78</v>
      </c>
      <c r="L139" s="98">
        <f>IF(I139="","",IF(J139="高",IF(K139="删除",I139*'模板使用说明&amp;基础参数'!$E$5*'模板使用说明&amp;基础参数'!$E$12,IF(K139="修改",I139*'模板使用说明&amp;基础参数'!$E$5*'模板使用说明&amp;基础参数'!$E$11,I139*'模板使用说明&amp;基础参数'!$E$5*'模板使用说明&amp;基础参数'!$E$10)),IF(J139="中",IF(K139="删除",I139*'模板使用说明&amp;基础参数'!$E$6*'模板使用说明&amp;基础参数'!$E$12,IF(K139="修改",I139*'模板使用说明&amp;基础参数'!$E$6*'模板使用说明&amp;基础参数'!$E$11,I139*'模板使用说明&amp;基础参数'!$E$6*'模板使用说明&amp;基础参数'!$E$10)),IF(K139="删除",I139*'模板使用说明&amp;基础参数'!$E$7*'模板使用说明&amp;基础参数'!$E$12,IF(K139="修改",I139*'模板使用说明&amp;基础参数'!$E$7*'模板使用说明&amp;基础参数'!$E$11,I139*'模板使用说明&amp;基础参数'!$E$7*'模板使用说明&amp;基础参数'!$E$10)))))</f>
        <v>1.06666666666667</v>
      </c>
      <c r="M139" s="95"/>
      <c r="N139" s="99"/>
      <c r="O139" s="100"/>
    </row>
    <row r="140" s="70" customFormat="1" ht="25" customHeight="1" spans="1:15">
      <c r="A140" s="93">
        <v>135</v>
      </c>
      <c r="B140" s="94" t="s">
        <v>72</v>
      </c>
      <c r="C140" s="95" t="s">
        <v>276</v>
      </c>
      <c r="D140" s="95" t="s">
        <v>277</v>
      </c>
      <c r="E140" s="95" t="s">
        <v>277</v>
      </c>
      <c r="F140" s="95" t="s">
        <v>356</v>
      </c>
      <c r="G140" s="95" t="s">
        <v>357</v>
      </c>
      <c r="H140" s="93" t="s">
        <v>84</v>
      </c>
      <c r="I140" s="96">
        <f>IF(H140="ILF",IF($C$1="预估功能点",'模板使用说明&amp;基础参数'!$E$15,7),IF(H140="EIF",IF($C$1="预估功能点",'模板使用说明&amp;基础参数'!$E$16,5),IF(H140="EI",IF($C$1="预估功能点",'模板使用说明&amp;基础参数'!$E$17,'模板使用说明&amp;基础参数'!$E$24),IF(H140="EO",IF($C$1="预估功能点",'模板使用说明&amp;基础参数'!$E$18,'模板使用说明&amp;基础参数'!$E$25),IF(H140="EQ",IF($C$1="预估功能点",'模板使用说明&amp;基础参数'!$E$19,'模板使用说明&amp;基础参数'!$E$26),"")))))</f>
        <v>4</v>
      </c>
      <c r="J140" s="97" t="s">
        <v>38</v>
      </c>
      <c r="K140" s="97" t="s">
        <v>78</v>
      </c>
      <c r="L140" s="98">
        <f>IF(I140="","",IF(J140="高",IF(K140="删除",I140*'模板使用说明&amp;基础参数'!$E$5*'模板使用说明&amp;基础参数'!$E$12,IF(K140="修改",I140*'模板使用说明&amp;基础参数'!$E$5*'模板使用说明&amp;基础参数'!$E$11,I140*'模板使用说明&amp;基础参数'!$E$5*'模板使用说明&amp;基础参数'!$E$10)),IF(J140="中",IF(K140="删除",I140*'模板使用说明&amp;基础参数'!$E$6*'模板使用说明&amp;基础参数'!$E$12,IF(K140="修改",I140*'模板使用说明&amp;基础参数'!$E$6*'模板使用说明&amp;基础参数'!$E$11,I140*'模板使用说明&amp;基础参数'!$E$6*'模板使用说明&amp;基础参数'!$E$10)),IF(K140="删除",I140*'模板使用说明&amp;基础参数'!$E$7*'模板使用说明&amp;基础参数'!$E$12,IF(K140="修改",I140*'模板使用说明&amp;基础参数'!$E$7*'模板使用说明&amp;基础参数'!$E$11,I140*'模板使用说明&amp;基础参数'!$E$7*'模板使用说明&amp;基础参数'!$E$10)))))</f>
        <v>1.06666666666667</v>
      </c>
      <c r="M140" s="95"/>
      <c r="N140" s="99"/>
      <c r="O140" s="100"/>
    </row>
    <row r="141" s="70" customFormat="1" ht="25" customHeight="1" spans="1:15">
      <c r="A141" s="93">
        <v>136</v>
      </c>
      <c r="B141" s="94" t="s">
        <v>72</v>
      </c>
      <c r="C141" s="95" t="s">
        <v>276</v>
      </c>
      <c r="D141" s="95" t="s">
        <v>277</v>
      </c>
      <c r="E141" s="95" t="s">
        <v>277</v>
      </c>
      <c r="F141" s="95" t="s">
        <v>358</v>
      </c>
      <c r="G141" s="95" t="s">
        <v>359</v>
      </c>
      <c r="H141" s="93" t="s">
        <v>77</v>
      </c>
      <c r="I141" s="96">
        <f>IF(H141="ILF",IF($C$1="预估功能点",'模板使用说明&amp;基础参数'!$E$15,7),IF(H141="EIF",IF($C$1="预估功能点",'模板使用说明&amp;基础参数'!$E$16,5),IF(H141="EI",IF($C$1="预估功能点",'模板使用说明&amp;基础参数'!$E$17,'模板使用说明&amp;基础参数'!$E$24),IF(H141="EO",IF($C$1="预估功能点",'模板使用说明&amp;基础参数'!$E$18,'模板使用说明&amp;基础参数'!$E$25),IF(H141="EQ",IF($C$1="预估功能点",'模板使用说明&amp;基础参数'!$E$19,'模板使用说明&amp;基础参数'!$E$26),"")))))</f>
        <v>7</v>
      </c>
      <c r="J141" s="97" t="s">
        <v>38</v>
      </c>
      <c r="K141" s="97" t="s">
        <v>78</v>
      </c>
      <c r="L141" s="98">
        <f>IF(I141="","",IF(J141="高",IF(K141="删除",I141*'模板使用说明&amp;基础参数'!$E$5*'模板使用说明&amp;基础参数'!$E$12,IF(K141="修改",I141*'模板使用说明&amp;基础参数'!$E$5*'模板使用说明&amp;基础参数'!$E$11,I141*'模板使用说明&amp;基础参数'!$E$5*'模板使用说明&amp;基础参数'!$E$10)),IF(J141="中",IF(K141="删除",I141*'模板使用说明&amp;基础参数'!$E$6*'模板使用说明&amp;基础参数'!$E$12,IF(K141="修改",I141*'模板使用说明&amp;基础参数'!$E$6*'模板使用说明&amp;基础参数'!$E$11,I141*'模板使用说明&amp;基础参数'!$E$6*'模板使用说明&amp;基础参数'!$E$10)),IF(K141="删除",I141*'模板使用说明&amp;基础参数'!$E$7*'模板使用说明&amp;基础参数'!$E$12,IF(K141="修改",I141*'模板使用说明&amp;基础参数'!$E$7*'模板使用说明&amp;基础参数'!$E$11,I141*'模板使用说明&amp;基础参数'!$E$7*'模板使用说明&amp;基础参数'!$E$10)))))</f>
        <v>1.86666666666666</v>
      </c>
      <c r="M141" s="95"/>
      <c r="N141" s="99"/>
      <c r="O141" s="100"/>
    </row>
    <row r="142" s="70" customFormat="1" ht="25" customHeight="1" spans="1:15">
      <c r="A142" s="93">
        <v>137</v>
      </c>
      <c r="B142" s="94" t="s">
        <v>72</v>
      </c>
      <c r="C142" s="95" t="s">
        <v>276</v>
      </c>
      <c r="D142" s="95" t="s">
        <v>277</v>
      </c>
      <c r="E142" s="95" t="s">
        <v>277</v>
      </c>
      <c r="F142" s="95" t="s">
        <v>360</v>
      </c>
      <c r="G142" s="95" t="s">
        <v>361</v>
      </c>
      <c r="H142" s="93" t="s">
        <v>81</v>
      </c>
      <c r="I142" s="96">
        <f>IF(H142="ILF",IF($C$1="预估功能点",'模板使用说明&amp;基础参数'!$E$15,7),IF(H142="EIF",IF($C$1="预估功能点",'模板使用说明&amp;基础参数'!$E$16,5),IF(H142="EI",IF($C$1="预估功能点",'模板使用说明&amp;基础参数'!$E$17,'模板使用说明&amp;基础参数'!$E$24),IF(H142="EO",IF($C$1="预估功能点",'模板使用说明&amp;基础参数'!$E$18,'模板使用说明&amp;基础参数'!$E$25),IF(H142="EQ",IF($C$1="预估功能点",'模板使用说明&amp;基础参数'!$E$19,'模板使用说明&amp;基础参数'!$E$26),"")))))</f>
        <v>4</v>
      </c>
      <c r="J142" s="97" t="s">
        <v>38</v>
      </c>
      <c r="K142" s="97" t="s">
        <v>78</v>
      </c>
      <c r="L142" s="98">
        <f>IF(I142="","",IF(J142="高",IF(K142="删除",I142*'模板使用说明&amp;基础参数'!$E$5*'模板使用说明&amp;基础参数'!$E$12,IF(K142="修改",I142*'模板使用说明&amp;基础参数'!$E$5*'模板使用说明&amp;基础参数'!$E$11,I142*'模板使用说明&amp;基础参数'!$E$5*'模板使用说明&amp;基础参数'!$E$10)),IF(J142="中",IF(K142="删除",I142*'模板使用说明&amp;基础参数'!$E$6*'模板使用说明&amp;基础参数'!$E$12,IF(K142="修改",I142*'模板使用说明&amp;基础参数'!$E$6*'模板使用说明&amp;基础参数'!$E$11,I142*'模板使用说明&amp;基础参数'!$E$6*'模板使用说明&amp;基础参数'!$E$10)),IF(K142="删除",I142*'模板使用说明&amp;基础参数'!$E$7*'模板使用说明&amp;基础参数'!$E$12,IF(K142="修改",I142*'模板使用说明&amp;基础参数'!$E$7*'模板使用说明&amp;基础参数'!$E$11,I142*'模板使用说明&amp;基础参数'!$E$7*'模板使用说明&amp;基础参数'!$E$10)))))</f>
        <v>1.06666666666667</v>
      </c>
      <c r="M142" s="95"/>
      <c r="N142" s="99"/>
      <c r="O142" s="100"/>
    </row>
    <row r="143" s="70" customFormat="1" ht="25" customHeight="1" spans="1:15">
      <c r="A143" s="93">
        <v>138</v>
      </c>
      <c r="B143" s="94" t="s">
        <v>72</v>
      </c>
      <c r="C143" s="95" t="s">
        <v>276</v>
      </c>
      <c r="D143" s="95" t="s">
        <v>277</v>
      </c>
      <c r="E143" s="95" t="s">
        <v>277</v>
      </c>
      <c r="F143" s="95" t="s">
        <v>362</v>
      </c>
      <c r="G143" s="95" t="s">
        <v>363</v>
      </c>
      <c r="H143" s="93" t="s">
        <v>84</v>
      </c>
      <c r="I143" s="96">
        <f>IF(H143="ILF",IF($C$1="预估功能点",'模板使用说明&amp;基础参数'!$E$15,7),IF(H143="EIF",IF($C$1="预估功能点",'模板使用说明&amp;基础参数'!$E$16,5),IF(H143="EI",IF($C$1="预估功能点",'模板使用说明&amp;基础参数'!$E$17,'模板使用说明&amp;基础参数'!$E$24),IF(H143="EO",IF($C$1="预估功能点",'模板使用说明&amp;基础参数'!$E$18,'模板使用说明&amp;基础参数'!$E$25),IF(H143="EQ",IF($C$1="预估功能点",'模板使用说明&amp;基础参数'!$E$19,'模板使用说明&amp;基础参数'!$E$26),"")))))</f>
        <v>4</v>
      </c>
      <c r="J143" s="97" t="s">
        <v>38</v>
      </c>
      <c r="K143" s="97" t="s">
        <v>78</v>
      </c>
      <c r="L143" s="98">
        <f>IF(I143="","",IF(J143="高",IF(K143="删除",I143*'模板使用说明&amp;基础参数'!$E$5*'模板使用说明&amp;基础参数'!$E$12,IF(K143="修改",I143*'模板使用说明&amp;基础参数'!$E$5*'模板使用说明&amp;基础参数'!$E$11,I143*'模板使用说明&amp;基础参数'!$E$5*'模板使用说明&amp;基础参数'!$E$10)),IF(J143="中",IF(K143="删除",I143*'模板使用说明&amp;基础参数'!$E$6*'模板使用说明&amp;基础参数'!$E$12,IF(K143="修改",I143*'模板使用说明&amp;基础参数'!$E$6*'模板使用说明&amp;基础参数'!$E$11,I143*'模板使用说明&amp;基础参数'!$E$6*'模板使用说明&amp;基础参数'!$E$10)),IF(K143="删除",I143*'模板使用说明&amp;基础参数'!$E$7*'模板使用说明&amp;基础参数'!$E$12,IF(K143="修改",I143*'模板使用说明&amp;基础参数'!$E$7*'模板使用说明&amp;基础参数'!$E$11,I143*'模板使用说明&amp;基础参数'!$E$7*'模板使用说明&amp;基础参数'!$E$10)))))</f>
        <v>1.06666666666667</v>
      </c>
      <c r="M143" s="95"/>
      <c r="N143" s="99"/>
      <c r="O143" s="100"/>
    </row>
    <row r="144" s="70" customFormat="1" ht="25" customHeight="1" spans="1:15">
      <c r="A144" s="93">
        <v>139</v>
      </c>
      <c r="B144" s="94" t="s">
        <v>72</v>
      </c>
      <c r="C144" s="95" t="s">
        <v>276</v>
      </c>
      <c r="D144" s="95" t="s">
        <v>277</v>
      </c>
      <c r="E144" s="95" t="s">
        <v>277</v>
      </c>
      <c r="F144" s="95" t="s">
        <v>364</v>
      </c>
      <c r="G144" s="95" t="s">
        <v>365</v>
      </c>
      <c r="H144" s="93" t="s">
        <v>84</v>
      </c>
      <c r="I144" s="96">
        <f>IF(H144="ILF",IF($C$1="预估功能点",'模板使用说明&amp;基础参数'!$E$15,7),IF(H144="EIF",IF($C$1="预估功能点",'模板使用说明&amp;基础参数'!$E$16,5),IF(H144="EI",IF($C$1="预估功能点",'模板使用说明&amp;基础参数'!$E$17,'模板使用说明&amp;基础参数'!$E$24),IF(H144="EO",IF($C$1="预估功能点",'模板使用说明&amp;基础参数'!$E$18,'模板使用说明&amp;基础参数'!$E$25),IF(H144="EQ",IF($C$1="预估功能点",'模板使用说明&amp;基础参数'!$E$19,'模板使用说明&amp;基础参数'!$E$26),"")))))</f>
        <v>4</v>
      </c>
      <c r="J144" s="97" t="s">
        <v>38</v>
      </c>
      <c r="K144" s="97" t="s">
        <v>78</v>
      </c>
      <c r="L144" s="98">
        <f>IF(I144="","",IF(J144="高",IF(K144="删除",I144*'模板使用说明&amp;基础参数'!$E$5*'模板使用说明&amp;基础参数'!$E$12,IF(K144="修改",I144*'模板使用说明&amp;基础参数'!$E$5*'模板使用说明&amp;基础参数'!$E$11,I144*'模板使用说明&amp;基础参数'!$E$5*'模板使用说明&amp;基础参数'!$E$10)),IF(J144="中",IF(K144="删除",I144*'模板使用说明&amp;基础参数'!$E$6*'模板使用说明&amp;基础参数'!$E$12,IF(K144="修改",I144*'模板使用说明&amp;基础参数'!$E$6*'模板使用说明&amp;基础参数'!$E$11,I144*'模板使用说明&amp;基础参数'!$E$6*'模板使用说明&amp;基础参数'!$E$10)),IF(K144="删除",I144*'模板使用说明&amp;基础参数'!$E$7*'模板使用说明&amp;基础参数'!$E$12,IF(K144="修改",I144*'模板使用说明&amp;基础参数'!$E$7*'模板使用说明&amp;基础参数'!$E$11,I144*'模板使用说明&amp;基础参数'!$E$7*'模板使用说明&amp;基础参数'!$E$10)))))</f>
        <v>1.06666666666667</v>
      </c>
      <c r="M144" s="95"/>
      <c r="N144" s="99"/>
      <c r="O144" s="100"/>
    </row>
    <row r="145" s="70" customFormat="1" ht="25" customHeight="1" spans="1:15">
      <c r="A145" s="93">
        <v>140</v>
      </c>
      <c r="B145" s="94" t="s">
        <v>72</v>
      </c>
      <c r="C145" s="95" t="s">
        <v>276</v>
      </c>
      <c r="D145" s="95" t="s">
        <v>277</v>
      </c>
      <c r="E145" s="95" t="s">
        <v>277</v>
      </c>
      <c r="F145" s="95" t="s">
        <v>366</v>
      </c>
      <c r="G145" s="95" t="s">
        <v>367</v>
      </c>
      <c r="H145" s="93" t="s">
        <v>84</v>
      </c>
      <c r="I145" s="96">
        <f>IF(H145="ILF",IF($C$1="预估功能点",'模板使用说明&amp;基础参数'!$E$15,7),IF(H145="EIF",IF($C$1="预估功能点",'模板使用说明&amp;基础参数'!$E$16,5),IF(H145="EI",IF($C$1="预估功能点",'模板使用说明&amp;基础参数'!$E$17,'模板使用说明&amp;基础参数'!$E$24),IF(H145="EO",IF($C$1="预估功能点",'模板使用说明&amp;基础参数'!$E$18,'模板使用说明&amp;基础参数'!$E$25),IF(H145="EQ",IF($C$1="预估功能点",'模板使用说明&amp;基础参数'!$E$19,'模板使用说明&amp;基础参数'!$E$26),"")))))</f>
        <v>4</v>
      </c>
      <c r="J145" s="97" t="s">
        <v>38</v>
      </c>
      <c r="K145" s="97" t="s">
        <v>78</v>
      </c>
      <c r="L145" s="98">
        <f>IF(I145="","",IF(J145="高",IF(K145="删除",I145*'模板使用说明&amp;基础参数'!$E$5*'模板使用说明&amp;基础参数'!$E$12,IF(K145="修改",I145*'模板使用说明&amp;基础参数'!$E$5*'模板使用说明&amp;基础参数'!$E$11,I145*'模板使用说明&amp;基础参数'!$E$5*'模板使用说明&amp;基础参数'!$E$10)),IF(J145="中",IF(K145="删除",I145*'模板使用说明&amp;基础参数'!$E$6*'模板使用说明&amp;基础参数'!$E$12,IF(K145="修改",I145*'模板使用说明&amp;基础参数'!$E$6*'模板使用说明&amp;基础参数'!$E$11,I145*'模板使用说明&amp;基础参数'!$E$6*'模板使用说明&amp;基础参数'!$E$10)),IF(K145="删除",I145*'模板使用说明&amp;基础参数'!$E$7*'模板使用说明&amp;基础参数'!$E$12,IF(K145="修改",I145*'模板使用说明&amp;基础参数'!$E$7*'模板使用说明&amp;基础参数'!$E$11,I145*'模板使用说明&amp;基础参数'!$E$7*'模板使用说明&amp;基础参数'!$E$10)))))</f>
        <v>1.06666666666667</v>
      </c>
      <c r="M145" s="95"/>
      <c r="N145" s="99"/>
      <c r="O145" s="100"/>
    </row>
    <row r="146" s="70" customFormat="1" ht="25" customHeight="1" spans="1:15">
      <c r="A146" s="93">
        <v>141</v>
      </c>
      <c r="B146" s="94" t="s">
        <v>72</v>
      </c>
      <c r="C146" s="95" t="s">
        <v>276</v>
      </c>
      <c r="D146" s="95" t="s">
        <v>277</v>
      </c>
      <c r="E146" s="95" t="s">
        <v>277</v>
      </c>
      <c r="F146" s="95" t="s">
        <v>368</v>
      </c>
      <c r="G146" s="95" t="s">
        <v>369</v>
      </c>
      <c r="H146" s="93" t="s">
        <v>77</v>
      </c>
      <c r="I146" s="96">
        <f>IF(H146="ILF",IF($C$1="预估功能点",'模板使用说明&amp;基础参数'!$E$15,7),IF(H146="EIF",IF($C$1="预估功能点",'模板使用说明&amp;基础参数'!$E$16,5),IF(H146="EI",IF($C$1="预估功能点",'模板使用说明&amp;基础参数'!$E$17,'模板使用说明&amp;基础参数'!$E$24),IF(H146="EO",IF($C$1="预估功能点",'模板使用说明&amp;基础参数'!$E$18,'模板使用说明&amp;基础参数'!$E$25),IF(H146="EQ",IF($C$1="预估功能点",'模板使用说明&amp;基础参数'!$E$19,'模板使用说明&amp;基础参数'!$E$26),"")))))</f>
        <v>7</v>
      </c>
      <c r="J146" s="97" t="s">
        <v>38</v>
      </c>
      <c r="K146" s="97" t="s">
        <v>78</v>
      </c>
      <c r="L146" s="98">
        <f>IF(I146="","",IF(J146="高",IF(K146="删除",I146*'模板使用说明&amp;基础参数'!$E$5*'模板使用说明&amp;基础参数'!$E$12,IF(K146="修改",I146*'模板使用说明&amp;基础参数'!$E$5*'模板使用说明&amp;基础参数'!$E$11,I146*'模板使用说明&amp;基础参数'!$E$5*'模板使用说明&amp;基础参数'!$E$10)),IF(J146="中",IF(K146="删除",I146*'模板使用说明&amp;基础参数'!$E$6*'模板使用说明&amp;基础参数'!$E$12,IF(K146="修改",I146*'模板使用说明&amp;基础参数'!$E$6*'模板使用说明&amp;基础参数'!$E$11,I146*'模板使用说明&amp;基础参数'!$E$6*'模板使用说明&amp;基础参数'!$E$10)),IF(K146="删除",I146*'模板使用说明&amp;基础参数'!$E$7*'模板使用说明&amp;基础参数'!$E$12,IF(K146="修改",I146*'模板使用说明&amp;基础参数'!$E$7*'模板使用说明&amp;基础参数'!$E$11,I146*'模板使用说明&amp;基础参数'!$E$7*'模板使用说明&amp;基础参数'!$E$10)))))</f>
        <v>1.86666666666666</v>
      </c>
      <c r="M146" s="95"/>
      <c r="N146" s="99"/>
      <c r="O146" s="100"/>
    </row>
    <row r="147" s="70" customFormat="1" ht="25" customHeight="1" spans="1:15">
      <c r="A147" s="93">
        <v>142</v>
      </c>
      <c r="B147" s="94" t="s">
        <v>72</v>
      </c>
      <c r="C147" s="95" t="s">
        <v>276</v>
      </c>
      <c r="D147" s="95" t="s">
        <v>277</v>
      </c>
      <c r="E147" s="95" t="s">
        <v>277</v>
      </c>
      <c r="F147" s="95" t="s">
        <v>370</v>
      </c>
      <c r="G147" s="95" t="s">
        <v>371</v>
      </c>
      <c r="H147" s="93" t="s">
        <v>81</v>
      </c>
      <c r="I147" s="96">
        <f>IF(H147="ILF",IF($C$1="预估功能点",'模板使用说明&amp;基础参数'!$E$15,7),IF(H147="EIF",IF($C$1="预估功能点",'模板使用说明&amp;基础参数'!$E$16,5),IF(H147="EI",IF($C$1="预估功能点",'模板使用说明&amp;基础参数'!$E$17,'模板使用说明&amp;基础参数'!$E$24),IF(H147="EO",IF($C$1="预估功能点",'模板使用说明&amp;基础参数'!$E$18,'模板使用说明&amp;基础参数'!$E$25),IF(H147="EQ",IF($C$1="预估功能点",'模板使用说明&amp;基础参数'!$E$19,'模板使用说明&amp;基础参数'!$E$26),"")))))</f>
        <v>4</v>
      </c>
      <c r="J147" s="97" t="s">
        <v>38</v>
      </c>
      <c r="K147" s="97" t="s">
        <v>78</v>
      </c>
      <c r="L147" s="98">
        <f>IF(I147="","",IF(J147="高",IF(K147="删除",I147*'模板使用说明&amp;基础参数'!$E$5*'模板使用说明&amp;基础参数'!$E$12,IF(K147="修改",I147*'模板使用说明&amp;基础参数'!$E$5*'模板使用说明&amp;基础参数'!$E$11,I147*'模板使用说明&amp;基础参数'!$E$5*'模板使用说明&amp;基础参数'!$E$10)),IF(J147="中",IF(K147="删除",I147*'模板使用说明&amp;基础参数'!$E$6*'模板使用说明&amp;基础参数'!$E$12,IF(K147="修改",I147*'模板使用说明&amp;基础参数'!$E$6*'模板使用说明&amp;基础参数'!$E$11,I147*'模板使用说明&amp;基础参数'!$E$6*'模板使用说明&amp;基础参数'!$E$10)),IF(K147="删除",I147*'模板使用说明&amp;基础参数'!$E$7*'模板使用说明&amp;基础参数'!$E$12,IF(K147="修改",I147*'模板使用说明&amp;基础参数'!$E$7*'模板使用说明&amp;基础参数'!$E$11,I147*'模板使用说明&amp;基础参数'!$E$7*'模板使用说明&amp;基础参数'!$E$10)))))</f>
        <v>1.06666666666667</v>
      </c>
      <c r="M147" s="95"/>
      <c r="N147" s="99"/>
      <c r="O147" s="100"/>
    </row>
    <row r="148" s="70" customFormat="1" ht="25" customHeight="1" spans="1:15">
      <c r="A148" s="93">
        <v>143</v>
      </c>
      <c r="B148" s="94" t="s">
        <v>72</v>
      </c>
      <c r="C148" s="95" t="s">
        <v>276</v>
      </c>
      <c r="D148" s="95" t="s">
        <v>277</v>
      </c>
      <c r="E148" s="95" t="s">
        <v>277</v>
      </c>
      <c r="F148" s="95" t="s">
        <v>372</v>
      </c>
      <c r="G148" s="95" t="s">
        <v>373</v>
      </c>
      <c r="H148" s="93" t="s">
        <v>84</v>
      </c>
      <c r="I148" s="96">
        <f>IF(H148="ILF",IF($C$1="预估功能点",'模板使用说明&amp;基础参数'!$E$15,7),IF(H148="EIF",IF($C$1="预估功能点",'模板使用说明&amp;基础参数'!$E$16,5),IF(H148="EI",IF($C$1="预估功能点",'模板使用说明&amp;基础参数'!$E$17,'模板使用说明&amp;基础参数'!$E$24),IF(H148="EO",IF($C$1="预估功能点",'模板使用说明&amp;基础参数'!$E$18,'模板使用说明&amp;基础参数'!$E$25),IF(H148="EQ",IF($C$1="预估功能点",'模板使用说明&amp;基础参数'!$E$19,'模板使用说明&amp;基础参数'!$E$26),"")))))</f>
        <v>4</v>
      </c>
      <c r="J148" s="97" t="s">
        <v>38</v>
      </c>
      <c r="K148" s="97" t="s">
        <v>78</v>
      </c>
      <c r="L148" s="98">
        <f>IF(I148="","",IF(J148="高",IF(K148="删除",I148*'模板使用说明&amp;基础参数'!$E$5*'模板使用说明&amp;基础参数'!$E$12,IF(K148="修改",I148*'模板使用说明&amp;基础参数'!$E$5*'模板使用说明&amp;基础参数'!$E$11,I148*'模板使用说明&amp;基础参数'!$E$5*'模板使用说明&amp;基础参数'!$E$10)),IF(J148="中",IF(K148="删除",I148*'模板使用说明&amp;基础参数'!$E$6*'模板使用说明&amp;基础参数'!$E$12,IF(K148="修改",I148*'模板使用说明&amp;基础参数'!$E$6*'模板使用说明&amp;基础参数'!$E$11,I148*'模板使用说明&amp;基础参数'!$E$6*'模板使用说明&amp;基础参数'!$E$10)),IF(K148="删除",I148*'模板使用说明&amp;基础参数'!$E$7*'模板使用说明&amp;基础参数'!$E$12,IF(K148="修改",I148*'模板使用说明&amp;基础参数'!$E$7*'模板使用说明&amp;基础参数'!$E$11,I148*'模板使用说明&amp;基础参数'!$E$7*'模板使用说明&amp;基础参数'!$E$10)))))</f>
        <v>1.06666666666667</v>
      </c>
      <c r="M148" s="95"/>
      <c r="N148" s="99"/>
      <c r="O148" s="100"/>
    </row>
    <row r="149" s="70" customFormat="1" ht="25" customHeight="1" spans="1:15">
      <c r="A149" s="93">
        <v>144</v>
      </c>
      <c r="B149" s="94" t="s">
        <v>72</v>
      </c>
      <c r="C149" s="95" t="s">
        <v>276</v>
      </c>
      <c r="D149" s="95" t="s">
        <v>277</v>
      </c>
      <c r="E149" s="95" t="s">
        <v>277</v>
      </c>
      <c r="F149" s="95" t="s">
        <v>374</v>
      </c>
      <c r="G149" s="95" t="s">
        <v>375</v>
      </c>
      <c r="H149" s="93" t="s">
        <v>84</v>
      </c>
      <c r="I149" s="96">
        <f>IF(H149="ILF",IF($C$1="预估功能点",'模板使用说明&amp;基础参数'!$E$15,7),IF(H149="EIF",IF($C$1="预估功能点",'模板使用说明&amp;基础参数'!$E$16,5),IF(H149="EI",IF($C$1="预估功能点",'模板使用说明&amp;基础参数'!$E$17,'模板使用说明&amp;基础参数'!$E$24),IF(H149="EO",IF($C$1="预估功能点",'模板使用说明&amp;基础参数'!$E$18,'模板使用说明&amp;基础参数'!$E$25),IF(H149="EQ",IF($C$1="预估功能点",'模板使用说明&amp;基础参数'!$E$19,'模板使用说明&amp;基础参数'!$E$26),"")))))</f>
        <v>4</v>
      </c>
      <c r="J149" s="97" t="s">
        <v>38</v>
      </c>
      <c r="K149" s="97" t="s">
        <v>78</v>
      </c>
      <c r="L149" s="98">
        <f>IF(I149="","",IF(J149="高",IF(K149="删除",I149*'模板使用说明&amp;基础参数'!$E$5*'模板使用说明&amp;基础参数'!$E$12,IF(K149="修改",I149*'模板使用说明&amp;基础参数'!$E$5*'模板使用说明&amp;基础参数'!$E$11,I149*'模板使用说明&amp;基础参数'!$E$5*'模板使用说明&amp;基础参数'!$E$10)),IF(J149="中",IF(K149="删除",I149*'模板使用说明&amp;基础参数'!$E$6*'模板使用说明&amp;基础参数'!$E$12,IF(K149="修改",I149*'模板使用说明&amp;基础参数'!$E$6*'模板使用说明&amp;基础参数'!$E$11,I149*'模板使用说明&amp;基础参数'!$E$6*'模板使用说明&amp;基础参数'!$E$10)),IF(K149="删除",I149*'模板使用说明&amp;基础参数'!$E$7*'模板使用说明&amp;基础参数'!$E$12,IF(K149="修改",I149*'模板使用说明&amp;基础参数'!$E$7*'模板使用说明&amp;基础参数'!$E$11,I149*'模板使用说明&amp;基础参数'!$E$7*'模板使用说明&amp;基础参数'!$E$10)))))</f>
        <v>1.06666666666667</v>
      </c>
      <c r="M149" s="95"/>
      <c r="N149" s="99"/>
      <c r="O149" s="100"/>
    </row>
    <row r="150" s="70" customFormat="1" ht="25" customHeight="1" spans="1:15">
      <c r="A150" s="93">
        <v>145</v>
      </c>
      <c r="B150" s="94" t="s">
        <v>72</v>
      </c>
      <c r="C150" s="95" t="s">
        <v>276</v>
      </c>
      <c r="D150" s="95" t="s">
        <v>277</v>
      </c>
      <c r="E150" s="95" t="s">
        <v>277</v>
      </c>
      <c r="F150" s="95" t="s">
        <v>376</v>
      </c>
      <c r="G150" s="95" t="s">
        <v>377</v>
      </c>
      <c r="H150" s="93" t="s">
        <v>84</v>
      </c>
      <c r="I150" s="96">
        <f>IF(H150="ILF",IF($C$1="预估功能点",'模板使用说明&amp;基础参数'!$E$15,7),IF(H150="EIF",IF($C$1="预估功能点",'模板使用说明&amp;基础参数'!$E$16,5),IF(H150="EI",IF($C$1="预估功能点",'模板使用说明&amp;基础参数'!$E$17,'模板使用说明&amp;基础参数'!$E$24),IF(H150="EO",IF($C$1="预估功能点",'模板使用说明&amp;基础参数'!$E$18,'模板使用说明&amp;基础参数'!$E$25),IF(H150="EQ",IF($C$1="预估功能点",'模板使用说明&amp;基础参数'!$E$19,'模板使用说明&amp;基础参数'!$E$26),"")))))</f>
        <v>4</v>
      </c>
      <c r="J150" s="97" t="s">
        <v>38</v>
      </c>
      <c r="K150" s="97" t="s">
        <v>78</v>
      </c>
      <c r="L150" s="98">
        <f>IF(I150="","",IF(J150="高",IF(K150="删除",I150*'模板使用说明&amp;基础参数'!$E$5*'模板使用说明&amp;基础参数'!$E$12,IF(K150="修改",I150*'模板使用说明&amp;基础参数'!$E$5*'模板使用说明&amp;基础参数'!$E$11,I150*'模板使用说明&amp;基础参数'!$E$5*'模板使用说明&amp;基础参数'!$E$10)),IF(J150="中",IF(K150="删除",I150*'模板使用说明&amp;基础参数'!$E$6*'模板使用说明&amp;基础参数'!$E$12,IF(K150="修改",I150*'模板使用说明&amp;基础参数'!$E$6*'模板使用说明&amp;基础参数'!$E$11,I150*'模板使用说明&amp;基础参数'!$E$6*'模板使用说明&amp;基础参数'!$E$10)),IF(K150="删除",I150*'模板使用说明&amp;基础参数'!$E$7*'模板使用说明&amp;基础参数'!$E$12,IF(K150="修改",I150*'模板使用说明&amp;基础参数'!$E$7*'模板使用说明&amp;基础参数'!$E$11,I150*'模板使用说明&amp;基础参数'!$E$7*'模板使用说明&amp;基础参数'!$E$10)))))</f>
        <v>1.06666666666667</v>
      </c>
      <c r="M150" s="95"/>
      <c r="N150" s="99"/>
      <c r="O150" s="100"/>
    </row>
    <row r="151" s="70" customFormat="1" ht="25" customHeight="1" spans="1:15">
      <c r="A151" s="93">
        <v>146</v>
      </c>
      <c r="B151" s="94" t="s">
        <v>72</v>
      </c>
      <c r="C151" s="95" t="s">
        <v>276</v>
      </c>
      <c r="D151" s="95" t="s">
        <v>277</v>
      </c>
      <c r="E151" s="95" t="s">
        <v>277</v>
      </c>
      <c r="F151" s="95" t="s">
        <v>378</v>
      </c>
      <c r="G151" s="95" t="s">
        <v>379</v>
      </c>
      <c r="H151" s="93" t="s">
        <v>77</v>
      </c>
      <c r="I151" s="96">
        <f>IF(H151="ILF",IF($C$1="预估功能点",'模板使用说明&amp;基础参数'!$E$15,7),IF(H151="EIF",IF($C$1="预估功能点",'模板使用说明&amp;基础参数'!$E$16,5),IF(H151="EI",IF($C$1="预估功能点",'模板使用说明&amp;基础参数'!$E$17,'模板使用说明&amp;基础参数'!$E$24),IF(H151="EO",IF($C$1="预估功能点",'模板使用说明&amp;基础参数'!$E$18,'模板使用说明&amp;基础参数'!$E$25),IF(H151="EQ",IF($C$1="预估功能点",'模板使用说明&amp;基础参数'!$E$19,'模板使用说明&amp;基础参数'!$E$26),"")))))</f>
        <v>7</v>
      </c>
      <c r="J151" s="97" t="s">
        <v>38</v>
      </c>
      <c r="K151" s="97" t="s">
        <v>78</v>
      </c>
      <c r="L151" s="98">
        <f>IF(I151="","",IF(J151="高",IF(K151="删除",I151*'模板使用说明&amp;基础参数'!$E$5*'模板使用说明&amp;基础参数'!$E$12,IF(K151="修改",I151*'模板使用说明&amp;基础参数'!$E$5*'模板使用说明&amp;基础参数'!$E$11,I151*'模板使用说明&amp;基础参数'!$E$5*'模板使用说明&amp;基础参数'!$E$10)),IF(J151="中",IF(K151="删除",I151*'模板使用说明&amp;基础参数'!$E$6*'模板使用说明&amp;基础参数'!$E$12,IF(K151="修改",I151*'模板使用说明&amp;基础参数'!$E$6*'模板使用说明&amp;基础参数'!$E$11,I151*'模板使用说明&amp;基础参数'!$E$6*'模板使用说明&amp;基础参数'!$E$10)),IF(K151="删除",I151*'模板使用说明&amp;基础参数'!$E$7*'模板使用说明&amp;基础参数'!$E$12,IF(K151="修改",I151*'模板使用说明&amp;基础参数'!$E$7*'模板使用说明&amp;基础参数'!$E$11,I151*'模板使用说明&amp;基础参数'!$E$7*'模板使用说明&amp;基础参数'!$E$10)))))</f>
        <v>1.86666666666666</v>
      </c>
      <c r="M151" s="95"/>
      <c r="N151" s="99"/>
      <c r="O151" s="100"/>
    </row>
    <row r="152" s="70" customFormat="1" ht="25" customHeight="1" spans="1:15">
      <c r="A152" s="93">
        <v>147</v>
      </c>
      <c r="B152" s="94" t="s">
        <v>72</v>
      </c>
      <c r="C152" s="95" t="s">
        <v>276</v>
      </c>
      <c r="D152" s="95" t="s">
        <v>277</v>
      </c>
      <c r="E152" s="95" t="s">
        <v>277</v>
      </c>
      <c r="F152" s="95" t="s">
        <v>380</v>
      </c>
      <c r="G152" s="95" t="s">
        <v>381</v>
      </c>
      <c r="H152" s="93" t="s">
        <v>81</v>
      </c>
      <c r="I152" s="96">
        <f>IF(H152="ILF",IF($C$1="预估功能点",'模板使用说明&amp;基础参数'!$E$15,7),IF(H152="EIF",IF($C$1="预估功能点",'模板使用说明&amp;基础参数'!$E$16,5),IF(H152="EI",IF($C$1="预估功能点",'模板使用说明&amp;基础参数'!$E$17,'模板使用说明&amp;基础参数'!$E$24),IF(H152="EO",IF($C$1="预估功能点",'模板使用说明&amp;基础参数'!$E$18,'模板使用说明&amp;基础参数'!$E$25),IF(H152="EQ",IF($C$1="预估功能点",'模板使用说明&amp;基础参数'!$E$19,'模板使用说明&amp;基础参数'!$E$26),"")))))</f>
        <v>4</v>
      </c>
      <c r="J152" s="97" t="s">
        <v>38</v>
      </c>
      <c r="K152" s="97" t="s">
        <v>78</v>
      </c>
      <c r="L152" s="98">
        <f>IF(I152="","",IF(J152="高",IF(K152="删除",I152*'模板使用说明&amp;基础参数'!$E$5*'模板使用说明&amp;基础参数'!$E$12,IF(K152="修改",I152*'模板使用说明&amp;基础参数'!$E$5*'模板使用说明&amp;基础参数'!$E$11,I152*'模板使用说明&amp;基础参数'!$E$5*'模板使用说明&amp;基础参数'!$E$10)),IF(J152="中",IF(K152="删除",I152*'模板使用说明&amp;基础参数'!$E$6*'模板使用说明&amp;基础参数'!$E$12,IF(K152="修改",I152*'模板使用说明&amp;基础参数'!$E$6*'模板使用说明&amp;基础参数'!$E$11,I152*'模板使用说明&amp;基础参数'!$E$6*'模板使用说明&amp;基础参数'!$E$10)),IF(K152="删除",I152*'模板使用说明&amp;基础参数'!$E$7*'模板使用说明&amp;基础参数'!$E$12,IF(K152="修改",I152*'模板使用说明&amp;基础参数'!$E$7*'模板使用说明&amp;基础参数'!$E$11,I152*'模板使用说明&amp;基础参数'!$E$7*'模板使用说明&amp;基础参数'!$E$10)))))</f>
        <v>1.06666666666667</v>
      </c>
      <c r="M152" s="95"/>
      <c r="N152" s="99"/>
      <c r="O152" s="100"/>
    </row>
    <row r="153" s="70" customFormat="1" ht="25" customHeight="1" spans="1:15">
      <c r="A153" s="93">
        <v>148</v>
      </c>
      <c r="B153" s="94" t="s">
        <v>72</v>
      </c>
      <c r="C153" s="95" t="s">
        <v>276</v>
      </c>
      <c r="D153" s="95" t="s">
        <v>277</v>
      </c>
      <c r="E153" s="95" t="s">
        <v>277</v>
      </c>
      <c r="F153" s="95" t="s">
        <v>382</v>
      </c>
      <c r="G153" s="95" t="s">
        <v>383</v>
      </c>
      <c r="H153" s="93" t="s">
        <v>84</v>
      </c>
      <c r="I153" s="96">
        <f>IF(H153="ILF",IF($C$1="预估功能点",'模板使用说明&amp;基础参数'!$E$15,7),IF(H153="EIF",IF($C$1="预估功能点",'模板使用说明&amp;基础参数'!$E$16,5),IF(H153="EI",IF($C$1="预估功能点",'模板使用说明&amp;基础参数'!$E$17,'模板使用说明&amp;基础参数'!$E$24),IF(H153="EO",IF($C$1="预估功能点",'模板使用说明&amp;基础参数'!$E$18,'模板使用说明&amp;基础参数'!$E$25),IF(H153="EQ",IF($C$1="预估功能点",'模板使用说明&amp;基础参数'!$E$19,'模板使用说明&amp;基础参数'!$E$26),"")))))</f>
        <v>4</v>
      </c>
      <c r="J153" s="97" t="s">
        <v>38</v>
      </c>
      <c r="K153" s="97" t="s">
        <v>78</v>
      </c>
      <c r="L153" s="98">
        <f>IF(I153="","",IF(J153="高",IF(K153="删除",I153*'模板使用说明&amp;基础参数'!$E$5*'模板使用说明&amp;基础参数'!$E$12,IF(K153="修改",I153*'模板使用说明&amp;基础参数'!$E$5*'模板使用说明&amp;基础参数'!$E$11,I153*'模板使用说明&amp;基础参数'!$E$5*'模板使用说明&amp;基础参数'!$E$10)),IF(J153="中",IF(K153="删除",I153*'模板使用说明&amp;基础参数'!$E$6*'模板使用说明&amp;基础参数'!$E$12,IF(K153="修改",I153*'模板使用说明&amp;基础参数'!$E$6*'模板使用说明&amp;基础参数'!$E$11,I153*'模板使用说明&amp;基础参数'!$E$6*'模板使用说明&amp;基础参数'!$E$10)),IF(K153="删除",I153*'模板使用说明&amp;基础参数'!$E$7*'模板使用说明&amp;基础参数'!$E$12,IF(K153="修改",I153*'模板使用说明&amp;基础参数'!$E$7*'模板使用说明&amp;基础参数'!$E$11,I153*'模板使用说明&amp;基础参数'!$E$7*'模板使用说明&amp;基础参数'!$E$10)))))</f>
        <v>1.06666666666667</v>
      </c>
      <c r="M153" s="95"/>
      <c r="N153" s="99"/>
      <c r="O153" s="100"/>
    </row>
    <row r="154" s="70" customFormat="1" ht="25" customHeight="1" spans="1:15">
      <c r="A154" s="93">
        <v>149</v>
      </c>
      <c r="B154" s="94" t="s">
        <v>72</v>
      </c>
      <c r="C154" s="95" t="s">
        <v>276</v>
      </c>
      <c r="D154" s="95" t="s">
        <v>277</v>
      </c>
      <c r="E154" s="95" t="s">
        <v>277</v>
      </c>
      <c r="F154" s="95" t="s">
        <v>384</v>
      </c>
      <c r="G154" s="95" t="s">
        <v>385</v>
      </c>
      <c r="H154" s="93" t="s">
        <v>84</v>
      </c>
      <c r="I154" s="96">
        <f>IF(H154="ILF",IF($C$1="预估功能点",'模板使用说明&amp;基础参数'!$E$15,7),IF(H154="EIF",IF($C$1="预估功能点",'模板使用说明&amp;基础参数'!$E$16,5),IF(H154="EI",IF($C$1="预估功能点",'模板使用说明&amp;基础参数'!$E$17,'模板使用说明&amp;基础参数'!$E$24),IF(H154="EO",IF($C$1="预估功能点",'模板使用说明&amp;基础参数'!$E$18,'模板使用说明&amp;基础参数'!$E$25),IF(H154="EQ",IF($C$1="预估功能点",'模板使用说明&amp;基础参数'!$E$19,'模板使用说明&amp;基础参数'!$E$26),"")))))</f>
        <v>4</v>
      </c>
      <c r="J154" s="97" t="s">
        <v>38</v>
      </c>
      <c r="K154" s="97" t="s">
        <v>78</v>
      </c>
      <c r="L154" s="98">
        <f>IF(I154="","",IF(J154="高",IF(K154="删除",I154*'模板使用说明&amp;基础参数'!$E$5*'模板使用说明&amp;基础参数'!$E$12,IF(K154="修改",I154*'模板使用说明&amp;基础参数'!$E$5*'模板使用说明&amp;基础参数'!$E$11,I154*'模板使用说明&amp;基础参数'!$E$5*'模板使用说明&amp;基础参数'!$E$10)),IF(J154="中",IF(K154="删除",I154*'模板使用说明&amp;基础参数'!$E$6*'模板使用说明&amp;基础参数'!$E$12,IF(K154="修改",I154*'模板使用说明&amp;基础参数'!$E$6*'模板使用说明&amp;基础参数'!$E$11,I154*'模板使用说明&amp;基础参数'!$E$6*'模板使用说明&amp;基础参数'!$E$10)),IF(K154="删除",I154*'模板使用说明&amp;基础参数'!$E$7*'模板使用说明&amp;基础参数'!$E$12,IF(K154="修改",I154*'模板使用说明&amp;基础参数'!$E$7*'模板使用说明&amp;基础参数'!$E$11,I154*'模板使用说明&amp;基础参数'!$E$7*'模板使用说明&amp;基础参数'!$E$10)))))</f>
        <v>1.06666666666667</v>
      </c>
      <c r="M154" s="95"/>
      <c r="N154" s="99"/>
      <c r="O154" s="100"/>
    </row>
    <row r="155" s="70" customFormat="1" ht="25" customHeight="1" spans="1:15">
      <c r="A155" s="93">
        <v>150</v>
      </c>
      <c r="B155" s="94" t="s">
        <v>72</v>
      </c>
      <c r="C155" s="95" t="s">
        <v>276</v>
      </c>
      <c r="D155" s="95" t="s">
        <v>277</v>
      </c>
      <c r="E155" s="95" t="s">
        <v>277</v>
      </c>
      <c r="F155" s="95" t="s">
        <v>386</v>
      </c>
      <c r="G155" s="95" t="s">
        <v>387</v>
      </c>
      <c r="H155" s="93" t="s">
        <v>84</v>
      </c>
      <c r="I155" s="96">
        <f>IF(H155="ILF",IF($C$1="预估功能点",'模板使用说明&amp;基础参数'!$E$15,7),IF(H155="EIF",IF($C$1="预估功能点",'模板使用说明&amp;基础参数'!$E$16,5),IF(H155="EI",IF($C$1="预估功能点",'模板使用说明&amp;基础参数'!$E$17,'模板使用说明&amp;基础参数'!$E$24),IF(H155="EO",IF($C$1="预估功能点",'模板使用说明&amp;基础参数'!$E$18,'模板使用说明&amp;基础参数'!$E$25),IF(H155="EQ",IF($C$1="预估功能点",'模板使用说明&amp;基础参数'!$E$19,'模板使用说明&amp;基础参数'!$E$26),"")))))</f>
        <v>4</v>
      </c>
      <c r="J155" s="97" t="s">
        <v>38</v>
      </c>
      <c r="K155" s="97" t="s">
        <v>78</v>
      </c>
      <c r="L155" s="98">
        <f>IF(I155="","",IF(J155="高",IF(K155="删除",I155*'模板使用说明&amp;基础参数'!$E$5*'模板使用说明&amp;基础参数'!$E$12,IF(K155="修改",I155*'模板使用说明&amp;基础参数'!$E$5*'模板使用说明&amp;基础参数'!$E$11,I155*'模板使用说明&amp;基础参数'!$E$5*'模板使用说明&amp;基础参数'!$E$10)),IF(J155="中",IF(K155="删除",I155*'模板使用说明&amp;基础参数'!$E$6*'模板使用说明&amp;基础参数'!$E$12,IF(K155="修改",I155*'模板使用说明&amp;基础参数'!$E$6*'模板使用说明&amp;基础参数'!$E$11,I155*'模板使用说明&amp;基础参数'!$E$6*'模板使用说明&amp;基础参数'!$E$10)),IF(K155="删除",I155*'模板使用说明&amp;基础参数'!$E$7*'模板使用说明&amp;基础参数'!$E$12,IF(K155="修改",I155*'模板使用说明&amp;基础参数'!$E$7*'模板使用说明&amp;基础参数'!$E$11,I155*'模板使用说明&amp;基础参数'!$E$7*'模板使用说明&amp;基础参数'!$E$10)))))</f>
        <v>1.06666666666667</v>
      </c>
      <c r="M155" s="95"/>
      <c r="N155" s="99"/>
      <c r="O155" s="100"/>
    </row>
    <row r="156" s="70" customFormat="1" ht="25" customHeight="1" spans="1:15">
      <c r="A156" s="93">
        <v>151</v>
      </c>
      <c r="B156" s="94" t="s">
        <v>72</v>
      </c>
      <c r="C156" s="95" t="s">
        <v>276</v>
      </c>
      <c r="D156" s="95" t="s">
        <v>277</v>
      </c>
      <c r="E156" s="95" t="s">
        <v>277</v>
      </c>
      <c r="F156" s="95" t="s">
        <v>388</v>
      </c>
      <c r="G156" s="95" t="s">
        <v>389</v>
      </c>
      <c r="H156" s="93" t="s">
        <v>77</v>
      </c>
      <c r="I156" s="96">
        <f>IF(H156="ILF",IF($C$1="预估功能点",'模板使用说明&amp;基础参数'!$E$15,7),IF(H156="EIF",IF($C$1="预估功能点",'模板使用说明&amp;基础参数'!$E$16,5),IF(H156="EI",IF($C$1="预估功能点",'模板使用说明&amp;基础参数'!$E$17,'模板使用说明&amp;基础参数'!$E$24),IF(H156="EO",IF($C$1="预估功能点",'模板使用说明&amp;基础参数'!$E$18,'模板使用说明&amp;基础参数'!$E$25),IF(H156="EQ",IF($C$1="预估功能点",'模板使用说明&amp;基础参数'!$E$19,'模板使用说明&amp;基础参数'!$E$26),"")))))</f>
        <v>7</v>
      </c>
      <c r="J156" s="97" t="s">
        <v>38</v>
      </c>
      <c r="K156" s="97" t="s">
        <v>78</v>
      </c>
      <c r="L156" s="98">
        <f>IF(I156="","",IF(J156="高",IF(K156="删除",I156*'模板使用说明&amp;基础参数'!$E$5*'模板使用说明&amp;基础参数'!$E$12,IF(K156="修改",I156*'模板使用说明&amp;基础参数'!$E$5*'模板使用说明&amp;基础参数'!$E$11,I156*'模板使用说明&amp;基础参数'!$E$5*'模板使用说明&amp;基础参数'!$E$10)),IF(J156="中",IF(K156="删除",I156*'模板使用说明&amp;基础参数'!$E$6*'模板使用说明&amp;基础参数'!$E$12,IF(K156="修改",I156*'模板使用说明&amp;基础参数'!$E$6*'模板使用说明&amp;基础参数'!$E$11,I156*'模板使用说明&amp;基础参数'!$E$6*'模板使用说明&amp;基础参数'!$E$10)),IF(K156="删除",I156*'模板使用说明&amp;基础参数'!$E$7*'模板使用说明&amp;基础参数'!$E$12,IF(K156="修改",I156*'模板使用说明&amp;基础参数'!$E$7*'模板使用说明&amp;基础参数'!$E$11,I156*'模板使用说明&amp;基础参数'!$E$7*'模板使用说明&amp;基础参数'!$E$10)))))</f>
        <v>1.86666666666666</v>
      </c>
      <c r="M156" s="95"/>
      <c r="N156" s="99"/>
      <c r="O156" s="100"/>
    </row>
    <row r="157" s="70" customFormat="1" ht="25" customHeight="1" spans="1:15">
      <c r="A157" s="93">
        <v>152</v>
      </c>
      <c r="B157" s="94" t="s">
        <v>72</v>
      </c>
      <c r="C157" s="95" t="s">
        <v>276</v>
      </c>
      <c r="D157" s="95" t="s">
        <v>277</v>
      </c>
      <c r="E157" s="95" t="s">
        <v>277</v>
      </c>
      <c r="F157" s="95" t="s">
        <v>390</v>
      </c>
      <c r="G157" s="95" t="s">
        <v>391</v>
      </c>
      <c r="H157" s="93" t="s">
        <v>81</v>
      </c>
      <c r="I157" s="96">
        <f>IF(H157="ILF",IF($C$1="预估功能点",'模板使用说明&amp;基础参数'!$E$15,7),IF(H157="EIF",IF($C$1="预估功能点",'模板使用说明&amp;基础参数'!$E$16,5),IF(H157="EI",IF($C$1="预估功能点",'模板使用说明&amp;基础参数'!$E$17,'模板使用说明&amp;基础参数'!$E$24),IF(H157="EO",IF($C$1="预估功能点",'模板使用说明&amp;基础参数'!$E$18,'模板使用说明&amp;基础参数'!$E$25),IF(H157="EQ",IF($C$1="预估功能点",'模板使用说明&amp;基础参数'!$E$19,'模板使用说明&amp;基础参数'!$E$26),"")))))</f>
        <v>4</v>
      </c>
      <c r="J157" s="97" t="s">
        <v>38</v>
      </c>
      <c r="K157" s="97" t="s">
        <v>78</v>
      </c>
      <c r="L157" s="98">
        <f>IF(I157="","",IF(J157="高",IF(K157="删除",I157*'模板使用说明&amp;基础参数'!$E$5*'模板使用说明&amp;基础参数'!$E$12,IF(K157="修改",I157*'模板使用说明&amp;基础参数'!$E$5*'模板使用说明&amp;基础参数'!$E$11,I157*'模板使用说明&amp;基础参数'!$E$5*'模板使用说明&amp;基础参数'!$E$10)),IF(J157="中",IF(K157="删除",I157*'模板使用说明&amp;基础参数'!$E$6*'模板使用说明&amp;基础参数'!$E$12,IF(K157="修改",I157*'模板使用说明&amp;基础参数'!$E$6*'模板使用说明&amp;基础参数'!$E$11,I157*'模板使用说明&amp;基础参数'!$E$6*'模板使用说明&amp;基础参数'!$E$10)),IF(K157="删除",I157*'模板使用说明&amp;基础参数'!$E$7*'模板使用说明&amp;基础参数'!$E$12,IF(K157="修改",I157*'模板使用说明&amp;基础参数'!$E$7*'模板使用说明&amp;基础参数'!$E$11,I157*'模板使用说明&amp;基础参数'!$E$7*'模板使用说明&amp;基础参数'!$E$10)))))</f>
        <v>1.06666666666667</v>
      </c>
      <c r="M157" s="95"/>
      <c r="N157" s="99"/>
      <c r="O157" s="100"/>
    </row>
    <row r="158" s="70" customFormat="1" ht="25" customHeight="1" spans="1:15">
      <c r="A158" s="93">
        <v>153</v>
      </c>
      <c r="B158" s="94" t="s">
        <v>72</v>
      </c>
      <c r="C158" s="95" t="s">
        <v>276</v>
      </c>
      <c r="D158" s="95" t="s">
        <v>277</v>
      </c>
      <c r="E158" s="95" t="s">
        <v>277</v>
      </c>
      <c r="F158" s="95" t="s">
        <v>392</v>
      </c>
      <c r="G158" s="95" t="s">
        <v>393</v>
      </c>
      <c r="H158" s="93" t="s">
        <v>84</v>
      </c>
      <c r="I158" s="96">
        <f>IF(H158="ILF",IF($C$1="预估功能点",'模板使用说明&amp;基础参数'!$E$15,7),IF(H158="EIF",IF($C$1="预估功能点",'模板使用说明&amp;基础参数'!$E$16,5),IF(H158="EI",IF($C$1="预估功能点",'模板使用说明&amp;基础参数'!$E$17,'模板使用说明&amp;基础参数'!$E$24),IF(H158="EO",IF($C$1="预估功能点",'模板使用说明&amp;基础参数'!$E$18,'模板使用说明&amp;基础参数'!$E$25),IF(H158="EQ",IF($C$1="预估功能点",'模板使用说明&amp;基础参数'!$E$19,'模板使用说明&amp;基础参数'!$E$26),"")))))</f>
        <v>4</v>
      </c>
      <c r="J158" s="97" t="s">
        <v>38</v>
      </c>
      <c r="K158" s="97" t="s">
        <v>78</v>
      </c>
      <c r="L158" s="98">
        <f>IF(I158="","",IF(J158="高",IF(K158="删除",I158*'模板使用说明&amp;基础参数'!$E$5*'模板使用说明&amp;基础参数'!$E$12,IF(K158="修改",I158*'模板使用说明&amp;基础参数'!$E$5*'模板使用说明&amp;基础参数'!$E$11,I158*'模板使用说明&amp;基础参数'!$E$5*'模板使用说明&amp;基础参数'!$E$10)),IF(J158="中",IF(K158="删除",I158*'模板使用说明&amp;基础参数'!$E$6*'模板使用说明&amp;基础参数'!$E$12,IF(K158="修改",I158*'模板使用说明&amp;基础参数'!$E$6*'模板使用说明&amp;基础参数'!$E$11,I158*'模板使用说明&amp;基础参数'!$E$6*'模板使用说明&amp;基础参数'!$E$10)),IF(K158="删除",I158*'模板使用说明&amp;基础参数'!$E$7*'模板使用说明&amp;基础参数'!$E$12,IF(K158="修改",I158*'模板使用说明&amp;基础参数'!$E$7*'模板使用说明&amp;基础参数'!$E$11,I158*'模板使用说明&amp;基础参数'!$E$7*'模板使用说明&amp;基础参数'!$E$10)))))</f>
        <v>1.06666666666667</v>
      </c>
      <c r="M158" s="95"/>
      <c r="N158" s="99"/>
      <c r="O158" s="100"/>
    </row>
    <row r="159" s="70" customFormat="1" ht="25" customHeight="1" spans="1:15">
      <c r="A159" s="93">
        <v>154</v>
      </c>
      <c r="B159" s="94" t="s">
        <v>72</v>
      </c>
      <c r="C159" s="95" t="s">
        <v>276</v>
      </c>
      <c r="D159" s="95" t="s">
        <v>277</v>
      </c>
      <c r="E159" s="95" t="s">
        <v>277</v>
      </c>
      <c r="F159" s="95" t="s">
        <v>394</v>
      </c>
      <c r="G159" s="95" t="s">
        <v>395</v>
      </c>
      <c r="H159" s="93" t="s">
        <v>84</v>
      </c>
      <c r="I159" s="96">
        <f>IF(H159="ILF",IF($C$1="预估功能点",'模板使用说明&amp;基础参数'!$E$15,7),IF(H159="EIF",IF($C$1="预估功能点",'模板使用说明&amp;基础参数'!$E$16,5),IF(H159="EI",IF($C$1="预估功能点",'模板使用说明&amp;基础参数'!$E$17,'模板使用说明&amp;基础参数'!$E$24),IF(H159="EO",IF($C$1="预估功能点",'模板使用说明&amp;基础参数'!$E$18,'模板使用说明&amp;基础参数'!$E$25),IF(H159="EQ",IF($C$1="预估功能点",'模板使用说明&amp;基础参数'!$E$19,'模板使用说明&amp;基础参数'!$E$26),"")))))</f>
        <v>4</v>
      </c>
      <c r="J159" s="97" t="s">
        <v>38</v>
      </c>
      <c r="K159" s="97" t="s">
        <v>78</v>
      </c>
      <c r="L159" s="98">
        <f>IF(I159="","",IF(J159="高",IF(K159="删除",I159*'模板使用说明&amp;基础参数'!$E$5*'模板使用说明&amp;基础参数'!$E$12,IF(K159="修改",I159*'模板使用说明&amp;基础参数'!$E$5*'模板使用说明&amp;基础参数'!$E$11,I159*'模板使用说明&amp;基础参数'!$E$5*'模板使用说明&amp;基础参数'!$E$10)),IF(J159="中",IF(K159="删除",I159*'模板使用说明&amp;基础参数'!$E$6*'模板使用说明&amp;基础参数'!$E$12,IF(K159="修改",I159*'模板使用说明&amp;基础参数'!$E$6*'模板使用说明&amp;基础参数'!$E$11,I159*'模板使用说明&amp;基础参数'!$E$6*'模板使用说明&amp;基础参数'!$E$10)),IF(K159="删除",I159*'模板使用说明&amp;基础参数'!$E$7*'模板使用说明&amp;基础参数'!$E$12,IF(K159="修改",I159*'模板使用说明&amp;基础参数'!$E$7*'模板使用说明&amp;基础参数'!$E$11,I159*'模板使用说明&amp;基础参数'!$E$7*'模板使用说明&amp;基础参数'!$E$10)))))</f>
        <v>1.06666666666667</v>
      </c>
      <c r="M159" s="95"/>
      <c r="N159" s="99"/>
      <c r="O159" s="100"/>
    </row>
    <row r="160" s="70" customFormat="1" ht="25" customHeight="1" spans="1:15">
      <c r="A160" s="93">
        <v>155</v>
      </c>
      <c r="B160" s="94" t="s">
        <v>72</v>
      </c>
      <c r="C160" s="95" t="s">
        <v>276</v>
      </c>
      <c r="D160" s="95" t="s">
        <v>277</v>
      </c>
      <c r="E160" s="95" t="s">
        <v>277</v>
      </c>
      <c r="F160" s="95" t="s">
        <v>396</v>
      </c>
      <c r="G160" s="95" t="s">
        <v>397</v>
      </c>
      <c r="H160" s="93" t="s">
        <v>84</v>
      </c>
      <c r="I160" s="96">
        <f>IF(H160="ILF",IF($C$1="预估功能点",'模板使用说明&amp;基础参数'!$E$15,7),IF(H160="EIF",IF($C$1="预估功能点",'模板使用说明&amp;基础参数'!$E$16,5),IF(H160="EI",IF($C$1="预估功能点",'模板使用说明&amp;基础参数'!$E$17,'模板使用说明&amp;基础参数'!$E$24),IF(H160="EO",IF($C$1="预估功能点",'模板使用说明&amp;基础参数'!$E$18,'模板使用说明&amp;基础参数'!$E$25),IF(H160="EQ",IF($C$1="预估功能点",'模板使用说明&amp;基础参数'!$E$19,'模板使用说明&amp;基础参数'!$E$26),"")))))</f>
        <v>4</v>
      </c>
      <c r="J160" s="97" t="s">
        <v>38</v>
      </c>
      <c r="K160" s="97" t="s">
        <v>78</v>
      </c>
      <c r="L160" s="98">
        <f>IF(I160="","",IF(J160="高",IF(K160="删除",I160*'模板使用说明&amp;基础参数'!$E$5*'模板使用说明&amp;基础参数'!$E$12,IF(K160="修改",I160*'模板使用说明&amp;基础参数'!$E$5*'模板使用说明&amp;基础参数'!$E$11,I160*'模板使用说明&amp;基础参数'!$E$5*'模板使用说明&amp;基础参数'!$E$10)),IF(J160="中",IF(K160="删除",I160*'模板使用说明&amp;基础参数'!$E$6*'模板使用说明&amp;基础参数'!$E$12,IF(K160="修改",I160*'模板使用说明&amp;基础参数'!$E$6*'模板使用说明&amp;基础参数'!$E$11,I160*'模板使用说明&amp;基础参数'!$E$6*'模板使用说明&amp;基础参数'!$E$10)),IF(K160="删除",I160*'模板使用说明&amp;基础参数'!$E$7*'模板使用说明&amp;基础参数'!$E$12,IF(K160="修改",I160*'模板使用说明&amp;基础参数'!$E$7*'模板使用说明&amp;基础参数'!$E$11,I160*'模板使用说明&amp;基础参数'!$E$7*'模板使用说明&amp;基础参数'!$E$10)))))</f>
        <v>1.06666666666667</v>
      </c>
      <c r="M160" s="95"/>
      <c r="N160" s="99"/>
      <c r="O160" s="100"/>
    </row>
    <row r="161" s="70" customFormat="1" ht="25" customHeight="1" spans="1:15">
      <c r="A161" s="93">
        <v>156</v>
      </c>
      <c r="B161" s="94" t="s">
        <v>72</v>
      </c>
      <c r="C161" s="95" t="s">
        <v>276</v>
      </c>
      <c r="D161" s="95" t="s">
        <v>277</v>
      </c>
      <c r="E161" s="95" t="s">
        <v>277</v>
      </c>
      <c r="F161" s="95" t="s">
        <v>398</v>
      </c>
      <c r="G161" s="95" t="s">
        <v>399</v>
      </c>
      <c r="H161" s="93" t="s">
        <v>77</v>
      </c>
      <c r="I161" s="96">
        <f>IF(H161="ILF",IF($C$1="预估功能点",'模板使用说明&amp;基础参数'!$E$15,7),IF(H161="EIF",IF($C$1="预估功能点",'模板使用说明&amp;基础参数'!$E$16,5),IF(H161="EI",IF($C$1="预估功能点",'模板使用说明&amp;基础参数'!$E$17,'模板使用说明&amp;基础参数'!$E$24),IF(H161="EO",IF($C$1="预估功能点",'模板使用说明&amp;基础参数'!$E$18,'模板使用说明&amp;基础参数'!$E$25),IF(H161="EQ",IF($C$1="预估功能点",'模板使用说明&amp;基础参数'!$E$19,'模板使用说明&amp;基础参数'!$E$26),"")))))</f>
        <v>7</v>
      </c>
      <c r="J161" s="97" t="s">
        <v>38</v>
      </c>
      <c r="K161" s="97" t="s">
        <v>78</v>
      </c>
      <c r="L161" s="98">
        <f>IF(I161="","",IF(J161="高",IF(K161="删除",I161*'模板使用说明&amp;基础参数'!$E$5*'模板使用说明&amp;基础参数'!$E$12,IF(K161="修改",I161*'模板使用说明&amp;基础参数'!$E$5*'模板使用说明&amp;基础参数'!$E$11,I161*'模板使用说明&amp;基础参数'!$E$5*'模板使用说明&amp;基础参数'!$E$10)),IF(J161="中",IF(K161="删除",I161*'模板使用说明&amp;基础参数'!$E$6*'模板使用说明&amp;基础参数'!$E$12,IF(K161="修改",I161*'模板使用说明&amp;基础参数'!$E$6*'模板使用说明&amp;基础参数'!$E$11,I161*'模板使用说明&amp;基础参数'!$E$6*'模板使用说明&amp;基础参数'!$E$10)),IF(K161="删除",I161*'模板使用说明&amp;基础参数'!$E$7*'模板使用说明&amp;基础参数'!$E$12,IF(K161="修改",I161*'模板使用说明&amp;基础参数'!$E$7*'模板使用说明&amp;基础参数'!$E$11,I161*'模板使用说明&amp;基础参数'!$E$7*'模板使用说明&amp;基础参数'!$E$10)))))</f>
        <v>1.86666666666666</v>
      </c>
      <c r="M161" s="95"/>
      <c r="N161" s="99"/>
      <c r="O161" s="100"/>
    </row>
    <row r="162" s="70" customFormat="1" ht="25" customHeight="1" spans="1:15">
      <c r="A162" s="93">
        <v>157</v>
      </c>
      <c r="B162" s="94" t="s">
        <v>72</v>
      </c>
      <c r="C162" s="95" t="s">
        <v>276</v>
      </c>
      <c r="D162" s="95" t="s">
        <v>277</v>
      </c>
      <c r="E162" s="95" t="s">
        <v>277</v>
      </c>
      <c r="F162" s="95" t="s">
        <v>400</v>
      </c>
      <c r="G162" s="95" t="s">
        <v>401</v>
      </c>
      <c r="H162" s="93" t="s">
        <v>81</v>
      </c>
      <c r="I162" s="96">
        <f>IF(H162="ILF",IF($C$1="预估功能点",'模板使用说明&amp;基础参数'!$E$15,7),IF(H162="EIF",IF($C$1="预估功能点",'模板使用说明&amp;基础参数'!$E$16,5),IF(H162="EI",IF($C$1="预估功能点",'模板使用说明&amp;基础参数'!$E$17,'模板使用说明&amp;基础参数'!$E$24),IF(H162="EO",IF($C$1="预估功能点",'模板使用说明&amp;基础参数'!$E$18,'模板使用说明&amp;基础参数'!$E$25),IF(H162="EQ",IF($C$1="预估功能点",'模板使用说明&amp;基础参数'!$E$19,'模板使用说明&amp;基础参数'!$E$26),"")))))</f>
        <v>4</v>
      </c>
      <c r="J162" s="97" t="s">
        <v>38</v>
      </c>
      <c r="K162" s="97" t="s">
        <v>78</v>
      </c>
      <c r="L162" s="98">
        <f>IF(I162="","",IF(J162="高",IF(K162="删除",I162*'模板使用说明&amp;基础参数'!$E$5*'模板使用说明&amp;基础参数'!$E$12,IF(K162="修改",I162*'模板使用说明&amp;基础参数'!$E$5*'模板使用说明&amp;基础参数'!$E$11,I162*'模板使用说明&amp;基础参数'!$E$5*'模板使用说明&amp;基础参数'!$E$10)),IF(J162="中",IF(K162="删除",I162*'模板使用说明&amp;基础参数'!$E$6*'模板使用说明&amp;基础参数'!$E$12,IF(K162="修改",I162*'模板使用说明&amp;基础参数'!$E$6*'模板使用说明&amp;基础参数'!$E$11,I162*'模板使用说明&amp;基础参数'!$E$6*'模板使用说明&amp;基础参数'!$E$10)),IF(K162="删除",I162*'模板使用说明&amp;基础参数'!$E$7*'模板使用说明&amp;基础参数'!$E$12,IF(K162="修改",I162*'模板使用说明&amp;基础参数'!$E$7*'模板使用说明&amp;基础参数'!$E$11,I162*'模板使用说明&amp;基础参数'!$E$7*'模板使用说明&amp;基础参数'!$E$10)))))</f>
        <v>1.06666666666667</v>
      </c>
      <c r="M162" s="95"/>
      <c r="N162" s="99"/>
      <c r="O162" s="100"/>
    </row>
    <row r="163" s="70" customFormat="1" ht="25" customHeight="1" spans="1:15">
      <c r="A163" s="93">
        <v>158</v>
      </c>
      <c r="B163" s="94" t="s">
        <v>72</v>
      </c>
      <c r="C163" s="95" t="s">
        <v>276</v>
      </c>
      <c r="D163" s="95" t="s">
        <v>277</v>
      </c>
      <c r="E163" s="95" t="s">
        <v>277</v>
      </c>
      <c r="F163" s="95" t="s">
        <v>402</v>
      </c>
      <c r="G163" s="95" t="s">
        <v>403</v>
      </c>
      <c r="H163" s="93" t="s">
        <v>84</v>
      </c>
      <c r="I163" s="96">
        <f>IF(H163="ILF",IF($C$1="预估功能点",'模板使用说明&amp;基础参数'!$E$15,7),IF(H163="EIF",IF($C$1="预估功能点",'模板使用说明&amp;基础参数'!$E$16,5),IF(H163="EI",IF($C$1="预估功能点",'模板使用说明&amp;基础参数'!$E$17,'模板使用说明&amp;基础参数'!$E$24),IF(H163="EO",IF($C$1="预估功能点",'模板使用说明&amp;基础参数'!$E$18,'模板使用说明&amp;基础参数'!$E$25),IF(H163="EQ",IF($C$1="预估功能点",'模板使用说明&amp;基础参数'!$E$19,'模板使用说明&amp;基础参数'!$E$26),"")))))</f>
        <v>4</v>
      </c>
      <c r="J163" s="97" t="s">
        <v>38</v>
      </c>
      <c r="K163" s="97" t="s">
        <v>78</v>
      </c>
      <c r="L163" s="98">
        <f>IF(I163="","",IF(J163="高",IF(K163="删除",I163*'模板使用说明&amp;基础参数'!$E$5*'模板使用说明&amp;基础参数'!$E$12,IF(K163="修改",I163*'模板使用说明&amp;基础参数'!$E$5*'模板使用说明&amp;基础参数'!$E$11,I163*'模板使用说明&amp;基础参数'!$E$5*'模板使用说明&amp;基础参数'!$E$10)),IF(J163="中",IF(K163="删除",I163*'模板使用说明&amp;基础参数'!$E$6*'模板使用说明&amp;基础参数'!$E$12,IF(K163="修改",I163*'模板使用说明&amp;基础参数'!$E$6*'模板使用说明&amp;基础参数'!$E$11,I163*'模板使用说明&amp;基础参数'!$E$6*'模板使用说明&amp;基础参数'!$E$10)),IF(K163="删除",I163*'模板使用说明&amp;基础参数'!$E$7*'模板使用说明&amp;基础参数'!$E$12,IF(K163="修改",I163*'模板使用说明&amp;基础参数'!$E$7*'模板使用说明&amp;基础参数'!$E$11,I163*'模板使用说明&amp;基础参数'!$E$7*'模板使用说明&amp;基础参数'!$E$10)))))</f>
        <v>1.06666666666667</v>
      </c>
      <c r="M163" s="95"/>
      <c r="N163" s="99"/>
      <c r="O163" s="100"/>
    </row>
    <row r="164" s="70" customFormat="1" ht="25" customHeight="1" spans="1:15">
      <c r="A164" s="93">
        <v>159</v>
      </c>
      <c r="B164" s="94" t="s">
        <v>72</v>
      </c>
      <c r="C164" s="95" t="s">
        <v>276</v>
      </c>
      <c r="D164" s="95" t="s">
        <v>277</v>
      </c>
      <c r="E164" s="95" t="s">
        <v>277</v>
      </c>
      <c r="F164" s="95" t="s">
        <v>404</v>
      </c>
      <c r="G164" s="95" t="s">
        <v>405</v>
      </c>
      <c r="H164" s="93" t="s">
        <v>84</v>
      </c>
      <c r="I164" s="96">
        <f>IF(H164="ILF",IF($C$1="预估功能点",'模板使用说明&amp;基础参数'!$E$15,7),IF(H164="EIF",IF($C$1="预估功能点",'模板使用说明&amp;基础参数'!$E$16,5),IF(H164="EI",IF($C$1="预估功能点",'模板使用说明&amp;基础参数'!$E$17,'模板使用说明&amp;基础参数'!$E$24),IF(H164="EO",IF($C$1="预估功能点",'模板使用说明&amp;基础参数'!$E$18,'模板使用说明&amp;基础参数'!$E$25),IF(H164="EQ",IF($C$1="预估功能点",'模板使用说明&amp;基础参数'!$E$19,'模板使用说明&amp;基础参数'!$E$26),"")))))</f>
        <v>4</v>
      </c>
      <c r="J164" s="97" t="s">
        <v>38</v>
      </c>
      <c r="K164" s="97" t="s">
        <v>78</v>
      </c>
      <c r="L164" s="98">
        <f>IF(I164="","",IF(J164="高",IF(K164="删除",I164*'模板使用说明&amp;基础参数'!$E$5*'模板使用说明&amp;基础参数'!$E$12,IF(K164="修改",I164*'模板使用说明&amp;基础参数'!$E$5*'模板使用说明&amp;基础参数'!$E$11,I164*'模板使用说明&amp;基础参数'!$E$5*'模板使用说明&amp;基础参数'!$E$10)),IF(J164="中",IF(K164="删除",I164*'模板使用说明&amp;基础参数'!$E$6*'模板使用说明&amp;基础参数'!$E$12,IF(K164="修改",I164*'模板使用说明&amp;基础参数'!$E$6*'模板使用说明&amp;基础参数'!$E$11,I164*'模板使用说明&amp;基础参数'!$E$6*'模板使用说明&amp;基础参数'!$E$10)),IF(K164="删除",I164*'模板使用说明&amp;基础参数'!$E$7*'模板使用说明&amp;基础参数'!$E$12,IF(K164="修改",I164*'模板使用说明&amp;基础参数'!$E$7*'模板使用说明&amp;基础参数'!$E$11,I164*'模板使用说明&amp;基础参数'!$E$7*'模板使用说明&amp;基础参数'!$E$10)))))</f>
        <v>1.06666666666667</v>
      </c>
      <c r="M164" s="95"/>
      <c r="N164" s="99"/>
      <c r="O164" s="100"/>
    </row>
    <row r="165" s="70" customFormat="1" ht="25" customHeight="1" spans="1:15">
      <c r="A165" s="93">
        <v>160</v>
      </c>
      <c r="B165" s="94" t="s">
        <v>72</v>
      </c>
      <c r="C165" s="95" t="s">
        <v>276</v>
      </c>
      <c r="D165" s="95" t="s">
        <v>277</v>
      </c>
      <c r="E165" s="95" t="s">
        <v>277</v>
      </c>
      <c r="F165" s="95" t="s">
        <v>406</v>
      </c>
      <c r="G165" s="95" t="s">
        <v>407</v>
      </c>
      <c r="H165" s="93" t="s">
        <v>84</v>
      </c>
      <c r="I165" s="96">
        <f>IF(H165="ILF",IF($C$1="预估功能点",'模板使用说明&amp;基础参数'!$E$15,7),IF(H165="EIF",IF($C$1="预估功能点",'模板使用说明&amp;基础参数'!$E$16,5),IF(H165="EI",IF($C$1="预估功能点",'模板使用说明&amp;基础参数'!$E$17,'模板使用说明&amp;基础参数'!$E$24),IF(H165="EO",IF($C$1="预估功能点",'模板使用说明&amp;基础参数'!$E$18,'模板使用说明&amp;基础参数'!$E$25),IF(H165="EQ",IF($C$1="预估功能点",'模板使用说明&amp;基础参数'!$E$19,'模板使用说明&amp;基础参数'!$E$26),"")))))</f>
        <v>4</v>
      </c>
      <c r="J165" s="97" t="s">
        <v>38</v>
      </c>
      <c r="K165" s="97" t="s">
        <v>78</v>
      </c>
      <c r="L165" s="98">
        <f>IF(I165="","",IF(J165="高",IF(K165="删除",I165*'模板使用说明&amp;基础参数'!$E$5*'模板使用说明&amp;基础参数'!$E$12,IF(K165="修改",I165*'模板使用说明&amp;基础参数'!$E$5*'模板使用说明&amp;基础参数'!$E$11,I165*'模板使用说明&amp;基础参数'!$E$5*'模板使用说明&amp;基础参数'!$E$10)),IF(J165="中",IF(K165="删除",I165*'模板使用说明&amp;基础参数'!$E$6*'模板使用说明&amp;基础参数'!$E$12,IF(K165="修改",I165*'模板使用说明&amp;基础参数'!$E$6*'模板使用说明&amp;基础参数'!$E$11,I165*'模板使用说明&amp;基础参数'!$E$6*'模板使用说明&amp;基础参数'!$E$10)),IF(K165="删除",I165*'模板使用说明&amp;基础参数'!$E$7*'模板使用说明&amp;基础参数'!$E$12,IF(K165="修改",I165*'模板使用说明&amp;基础参数'!$E$7*'模板使用说明&amp;基础参数'!$E$11,I165*'模板使用说明&amp;基础参数'!$E$7*'模板使用说明&amp;基础参数'!$E$10)))))</f>
        <v>1.06666666666667</v>
      </c>
      <c r="M165" s="95"/>
      <c r="N165" s="99"/>
      <c r="O165" s="100"/>
    </row>
    <row r="166" s="70" customFormat="1" ht="25" customHeight="1" spans="1:15">
      <c r="A166" s="93">
        <v>161</v>
      </c>
      <c r="B166" s="94" t="s">
        <v>72</v>
      </c>
      <c r="C166" s="95" t="s">
        <v>276</v>
      </c>
      <c r="D166" s="95" t="s">
        <v>277</v>
      </c>
      <c r="E166" s="95" t="s">
        <v>277</v>
      </c>
      <c r="F166" s="95" t="s">
        <v>408</v>
      </c>
      <c r="G166" s="95" t="s">
        <v>409</v>
      </c>
      <c r="H166" s="93" t="s">
        <v>77</v>
      </c>
      <c r="I166" s="96">
        <f>IF(H166="ILF",IF($C$1="预估功能点",'模板使用说明&amp;基础参数'!$E$15,7),IF(H166="EIF",IF($C$1="预估功能点",'模板使用说明&amp;基础参数'!$E$16,5),IF(H166="EI",IF($C$1="预估功能点",'模板使用说明&amp;基础参数'!$E$17,'模板使用说明&amp;基础参数'!$E$24),IF(H166="EO",IF($C$1="预估功能点",'模板使用说明&amp;基础参数'!$E$18,'模板使用说明&amp;基础参数'!$E$25),IF(H166="EQ",IF($C$1="预估功能点",'模板使用说明&amp;基础参数'!$E$19,'模板使用说明&amp;基础参数'!$E$26),"")))))</f>
        <v>7</v>
      </c>
      <c r="J166" s="97" t="s">
        <v>38</v>
      </c>
      <c r="K166" s="97" t="s">
        <v>78</v>
      </c>
      <c r="L166" s="98">
        <f>IF(I166="","",IF(J166="高",IF(K166="删除",I166*'模板使用说明&amp;基础参数'!$E$5*'模板使用说明&amp;基础参数'!$E$12,IF(K166="修改",I166*'模板使用说明&amp;基础参数'!$E$5*'模板使用说明&amp;基础参数'!$E$11,I166*'模板使用说明&amp;基础参数'!$E$5*'模板使用说明&amp;基础参数'!$E$10)),IF(J166="中",IF(K166="删除",I166*'模板使用说明&amp;基础参数'!$E$6*'模板使用说明&amp;基础参数'!$E$12,IF(K166="修改",I166*'模板使用说明&amp;基础参数'!$E$6*'模板使用说明&amp;基础参数'!$E$11,I166*'模板使用说明&amp;基础参数'!$E$6*'模板使用说明&amp;基础参数'!$E$10)),IF(K166="删除",I166*'模板使用说明&amp;基础参数'!$E$7*'模板使用说明&amp;基础参数'!$E$12,IF(K166="修改",I166*'模板使用说明&amp;基础参数'!$E$7*'模板使用说明&amp;基础参数'!$E$11,I166*'模板使用说明&amp;基础参数'!$E$7*'模板使用说明&amp;基础参数'!$E$10)))))</f>
        <v>1.86666666666666</v>
      </c>
      <c r="M166" s="95"/>
      <c r="N166" s="99"/>
      <c r="O166" s="100"/>
    </row>
    <row r="167" s="70" customFormat="1" ht="25" customHeight="1" spans="1:15">
      <c r="A167" s="93">
        <v>162</v>
      </c>
      <c r="B167" s="94" t="s">
        <v>72</v>
      </c>
      <c r="C167" s="95" t="s">
        <v>276</v>
      </c>
      <c r="D167" s="95" t="s">
        <v>277</v>
      </c>
      <c r="E167" s="95" t="s">
        <v>277</v>
      </c>
      <c r="F167" s="95" t="s">
        <v>410</v>
      </c>
      <c r="G167" s="95" t="s">
        <v>411</v>
      </c>
      <c r="H167" s="93" t="s">
        <v>81</v>
      </c>
      <c r="I167" s="96">
        <f>IF(H167="ILF",IF($C$1="预估功能点",'模板使用说明&amp;基础参数'!$E$15,7),IF(H167="EIF",IF($C$1="预估功能点",'模板使用说明&amp;基础参数'!$E$16,5),IF(H167="EI",IF($C$1="预估功能点",'模板使用说明&amp;基础参数'!$E$17,'模板使用说明&amp;基础参数'!$E$24),IF(H167="EO",IF($C$1="预估功能点",'模板使用说明&amp;基础参数'!$E$18,'模板使用说明&amp;基础参数'!$E$25),IF(H167="EQ",IF($C$1="预估功能点",'模板使用说明&amp;基础参数'!$E$19,'模板使用说明&amp;基础参数'!$E$26),"")))))</f>
        <v>4</v>
      </c>
      <c r="J167" s="97" t="s">
        <v>38</v>
      </c>
      <c r="K167" s="97" t="s">
        <v>78</v>
      </c>
      <c r="L167" s="98">
        <f>IF(I167="","",IF(J167="高",IF(K167="删除",I167*'模板使用说明&amp;基础参数'!$E$5*'模板使用说明&amp;基础参数'!$E$12,IF(K167="修改",I167*'模板使用说明&amp;基础参数'!$E$5*'模板使用说明&amp;基础参数'!$E$11,I167*'模板使用说明&amp;基础参数'!$E$5*'模板使用说明&amp;基础参数'!$E$10)),IF(J167="中",IF(K167="删除",I167*'模板使用说明&amp;基础参数'!$E$6*'模板使用说明&amp;基础参数'!$E$12,IF(K167="修改",I167*'模板使用说明&amp;基础参数'!$E$6*'模板使用说明&amp;基础参数'!$E$11,I167*'模板使用说明&amp;基础参数'!$E$6*'模板使用说明&amp;基础参数'!$E$10)),IF(K167="删除",I167*'模板使用说明&amp;基础参数'!$E$7*'模板使用说明&amp;基础参数'!$E$12,IF(K167="修改",I167*'模板使用说明&amp;基础参数'!$E$7*'模板使用说明&amp;基础参数'!$E$11,I167*'模板使用说明&amp;基础参数'!$E$7*'模板使用说明&amp;基础参数'!$E$10)))))</f>
        <v>1.06666666666667</v>
      </c>
      <c r="M167" s="95"/>
      <c r="N167" s="99"/>
      <c r="O167" s="100"/>
    </row>
    <row r="168" s="70" customFormat="1" ht="25" customHeight="1" spans="1:15">
      <c r="A168" s="93">
        <v>163</v>
      </c>
      <c r="B168" s="94" t="s">
        <v>72</v>
      </c>
      <c r="C168" s="95" t="s">
        <v>276</v>
      </c>
      <c r="D168" s="95" t="s">
        <v>277</v>
      </c>
      <c r="E168" s="95" t="s">
        <v>277</v>
      </c>
      <c r="F168" s="95" t="s">
        <v>412</v>
      </c>
      <c r="G168" s="95" t="s">
        <v>413</v>
      </c>
      <c r="H168" s="93" t="s">
        <v>84</v>
      </c>
      <c r="I168" s="96">
        <f>IF(H168="ILF",IF($C$1="预估功能点",'模板使用说明&amp;基础参数'!$E$15,7),IF(H168="EIF",IF($C$1="预估功能点",'模板使用说明&amp;基础参数'!$E$16,5),IF(H168="EI",IF($C$1="预估功能点",'模板使用说明&amp;基础参数'!$E$17,'模板使用说明&amp;基础参数'!$E$24),IF(H168="EO",IF($C$1="预估功能点",'模板使用说明&amp;基础参数'!$E$18,'模板使用说明&amp;基础参数'!$E$25),IF(H168="EQ",IF($C$1="预估功能点",'模板使用说明&amp;基础参数'!$E$19,'模板使用说明&amp;基础参数'!$E$26),"")))))</f>
        <v>4</v>
      </c>
      <c r="J168" s="97" t="s">
        <v>38</v>
      </c>
      <c r="K168" s="97" t="s">
        <v>78</v>
      </c>
      <c r="L168" s="98">
        <f>IF(I168="","",IF(J168="高",IF(K168="删除",I168*'模板使用说明&amp;基础参数'!$E$5*'模板使用说明&amp;基础参数'!$E$12,IF(K168="修改",I168*'模板使用说明&amp;基础参数'!$E$5*'模板使用说明&amp;基础参数'!$E$11,I168*'模板使用说明&amp;基础参数'!$E$5*'模板使用说明&amp;基础参数'!$E$10)),IF(J168="中",IF(K168="删除",I168*'模板使用说明&amp;基础参数'!$E$6*'模板使用说明&amp;基础参数'!$E$12,IF(K168="修改",I168*'模板使用说明&amp;基础参数'!$E$6*'模板使用说明&amp;基础参数'!$E$11,I168*'模板使用说明&amp;基础参数'!$E$6*'模板使用说明&amp;基础参数'!$E$10)),IF(K168="删除",I168*'模板使用说明&amp;基础参数'!$E$7*'模板使用说明&amp;基础参数'!$E$12,IF(K168="修改",I168*'模板使用说明&amp;基础参数'!$E$7*'模板使用说明&amp;基础参数'!$E$11,I168*'模板使用说明&amp;基础参数'!$E$7*'模板使用说明&amp;基础参数'!$E$10)))))</f>
        <v>1.06666666666667</v>
      </c>
      <c r="M168" s="95"/>
      <c r="N168" s="99"/>
      <c r="O168" s="100"/>
    </row>
    <row r="169" s="70" customFormat="1" ht="25" customHeight="1" spans="1:15">
      <c r="A169" s="93">
        <v>164</v>
      </c>
      <c r="B169" s="94" t="s">
        <v>72</v>
      </c>
      <c r="C169" s="95" t="s">
        <v>276</v>
      </c>
      <c r="D169" s="95" t="s">
        <v>277</v>
      </c>
      <c r="E169" s="95" t="s">
        <v>277</v>
      </c>
      <c r="F169" s="95" t="s">
        <v>414</v>
      </c>
      <c r="G169" s="95" t="s">
        <v>415</v>
      </c>
      <c r="H169" s="93" t="s">
        <v>84</v>
      </c>
      <c r="I169" s="96">
        <f>IF(H169="ILF",IF($C$1="预估功能点",'模板使用说明&amp;基础参数'!$E$15,7),IF(H169="EIF",IF($C$1="预估功能点",'模板使用说明&amp;基础参数'!$E$16,5),IF(H169="EI",IF($C$1="预估功能点",'模板使用说明&amp;基础参数'!$E$17,'模板使用说明&amp;基础参数'!$E$24),IF(H169="EO",IF($C$1="预估功能点",'模板使用说明&amp;基础参数'!$E$18,'模板使用说明&amp;基础参数'!$E$25),IF(H169="EQ",IF($C$1="预估功能点",'模板使用说明&amp;基础参数'!$E$19,'模板使用说明&amp;基础参数'!$E$26),"")))))</f>
        <v>4</v>
      </c>
      <c r="J169" s="97" t="s">
        <v>38</v>
      </c>
      <c r="K169" s="97" t="s">
        <v>78</v>
      </c>
      <c r="L169" s="98">
        <f>IF(I169="","",IF(J169="高",IF(K169="删除",I169*'模板使用说明&amp;基础参数'!$E$5*'模板使用说明&amp;基础参数'!$E$12,IF(K169="修改",I169*'模板使用说明&amp;基础参数'!$E$5*'模板使用说明&amp;基础参数'!$E$11,I169*'模板使用说明&amp;基础参数'!$E$5*'模板使用说明&amp;基础参数'!$E$10)),IF(J169="中",IF(K169="删除",I169*'模板使用说明&amp;基础参数'!$E$6*'模板使用说明&amp;基础参数'!$E$12,IF(K169="修改",I169*'模板使用说明&amp;基础参数'!$E$6*'模板使用说明&amp;基础参数'!$E$11,I169*'模板使用说明&amp;基础参数'!$E$6*'模板使用说明&amp;基础参数'!$E$10)),IF(K169="删除",I169*'模板使用说明&amp;基础参数'!$E$7*'模板使用说明&amp;基础参数'!$E$12,IF(K169="修改",I169*'模板使用说明&amp;基础参数'!$E$7*'模板使用说明&amp;基础参数'!$E$11,I169*'模板使用说明&amp;基础参数'!$E$7*'模板使用说明&amp;基础参数'!$E$10)))))</f>
        <v>1.06666666666667</v>
      </c>
      <c r="M169" s="95"/>
      <c r="N169" s="99"/>
      <c r="O169" s="100"/>
    </row>
    <row r="170" s="70" customFormat="1" ht="25" customHeight="1" spans="1:15">
      <c r="A170" s="93">
        <v>165</v>
      </c>
      <c r="B170" s="94" t="s">
        <v>72</v>
      </c>
      <c r="C170" s="95" t="s">
        <v>276</v>
      </c>
      <c r="D170" s="95" t="s">
        <v>277</v>
      </c>
      <c r="E170" s="95" t="s">
        <v>277</v>
      </c>
      <c r="F170" s="95" t="s">
        <v>416</v>
      </c>
      <c r="G170" s="95" t="s">
        <v>417</v>
      </c>
      <c r="H170" s="93" t="s">
        <v>84</v>
      </c>
      <c r="I170" s="96">
        <f>IF(H170="ILF",IF($C$1="预估功能点",'模板使用说明&amp;基础参数'!$E$15,7),IF(H170="EIF",IF($C$1="预估功能点",'模板使用说明&amp;基础参数'!$E$16,5),IF(H170="EI",IF($C$1="预估功能点",'模板使用说明&amp;基础参数'!$E$17,'模板使用说明&amp;基础参数'!$E$24),IF(H170="EO",IF($C$1="预估功能点",'模板使用说明&amp;基础参数'!$E$18,'模板使用说明&amp;基础参数'!$E$25),IF(H170="EQ",IF($C$1="预估功能点",'模板使用说明&amp;基础参数'!$E$19,'模板使用说明&amp;基础参数'!$E$26),"")))))</f>
        <v>4</v>
      </c>
      <c r="J170" s="97" t="s">
        <v>38</v>
      </c>
      <c r="K170" s="97" t="s">
        <v>78</v>
      </c>
      <c r="L170" s="98">
        <f>IF(I170="","",IF(J170="高",IF(K170="删除",I170*'模板使用说明&amp;基础参数'!$E$5*'模板使用说明&amp;基础参数'!$E$12,IF(K170="修改",I170*'模板使用说明&amp;基础参数'!$E$5*'模板使用说明&amp;基础参数'!$E$11,I170*'模板使用说明&amp;基础参数'!$E$5*'模板使用说明&amp;基础参数'!$E$10)),IF(J170="中",IF(K170="删除",I170*'模板使用说明&amp;基础参数'!$E$6*'模板使用说明&amp;基础参数'!$E$12,IF(K170="修改",I170*'模板使用说明&amp;基础参数'!$E$6*'模板使用说明&amp;基础参数'!$E$11,I170*'模板使用说明&amp;基础参数'!$E$6*'模板使用说明&amp;基础参数'!$E$10)),IF(K170="删除",I170*'模板使用说明&amp;基础参数'!$E$7*'模板使用说明&amp;基础参数'!$E$12,IF(K170="修改",I170*'模板使用说明&amp;基础参数'!$E$7*'模板使用说明&amp;基础参数'!$E$11,I170*'模板使用说明&amp;基础参数'!$E$7*'模板使用说明&amp;基础参数'!$E$10)))))</f>
        <v>1.06666666666667</v>
      </c>
      <c r="M170" s="95"/>
      <c r="N170" s="99"/>
      <c r="O170" s="100"/>
    </row>
    <row r="171" s="70" customFormat="1" ht="25" customHeight="1" spans="1:15">
      <c r="A171" s="93">
        <v>166</v>
      </c>
      <c r="B171" s="94" t="s">
        <v>72</v>
      </c>
      <c r="C171" s="95" t="s">
        <v>276</v>
      </c>
      <c r="D171" s="95" t="s">
        <v>277</v>
      </c>
      <c r="E171" s="95" t="s">
        <v>277</v>
      </c>
      <c r="F171" s="95" t="s">
        <v>418</v>
      </c>
      <c r="G171" s="95" t="s">
        <v>419</v>
      </c>
      <c r="H171" s="93" t="s">
        <v>77</v>
      </c>
      <c r="I171" s="96">
        <f>IF(H171="ILF",IF($C$1="预估功能点",'模板使用说明&amp;基础参数'!$E$15,7),IF(H171="EIF",IF($C$1="预估功能点",'模板使用说明&amp;基础参数'!$E$16,5),IF(H171="EI",IF($C$1="预估功能点",'模板使用说明&amp;基础参数'!$E$17,'模板使用说明&amp;基础参数'!$E$24),IF(H171="EO",IF($C$1="预估功能点",'模板使用说明&amp;基础参数'!$E$18,'模板使用说明&amp;基础参数'!$E$25),IF(H171="EQ",IF($C$1="预估功能点",'模板使用说明&amp;基础参数'!$E$19,'模板使用说明&amp;基础参数'!$E$26),"")))))</f>
        <v>7</v>
      </c>
      <c r="J171" s="97" t="s">
        <v>38</v>
      </c>
      <c r="K171" s="97" t="s">
        <v>78</v>
      </c>
      <c r="L171" s="98">
        <f>IF(I171="","",IF(J171="高",IF(K171="删除",I171*'模板使用说明&amp;基础参数'!$E$5*'模板使用说明&amp;基础参数'!$E$12,IF(K171="修改",I171*'模板使用说明&amp;基础参数'!$E$5*'模板使用说明&amp;基础参数'!$E$11,I171*'模板使用说明&amp;基础参数'!$E$5*'模板使用说明&amp;基础参数'!$E$10)),IF(J171="中",IF(K171="删除",I171*'模板使用说明&amp;基础参数'!$E$6*'模板使用说明&amp;基础参数'!$E$12,IF(K171="修改",I171*'模板使用说明&amp;基础参数'!$E$6*'模板使用说明&amp;基础参数'!$E$11,I171*'模板使用说明&amp;基础参数'!$E$6*'模板使用说明&amp;基础参数'!$E$10)),IF(K171="删除",I171*'模板使用说明&amp;基础参数'!$E$7*'模板使用说明&amp;基础参数'!$E$12,IF(K171="修改",I171*'模板使用说明&amp;基础参数'!$E$7*'模板使用说明&amp;基础参数'!$E$11,I171*'模板使用说明&amp;基础参数'!$E$7*'模板使用说明&amp;基础参数'!$E$10)))))</f>
        <v>1.86666666666666</v>
      </c>
      <c r="M171" s="95"/>
      <c r="N171" s="99"/>
      <c r="O171" s="100"/>
    </row>
    <row r="172" s="70" customFormat="1" ht="25" customHeight="1" spans="1:15">
      <c r="A172" s="93">
        <v>167</v>
      </c>
      <c r="B172" s="94" t="s">
        <v>72</v>
      </c>
      <c r="C172" s="95" t="s">
        <v>276</v>
      </c>
      <c r="D172" s="95" t="s">
        <v>277</v>
      </c>
      <c r="E172" s="95" t="s">
        <v>277</v>
      </c>
      <c r="F172" s="95" t="s">
        <v>420</v>
      </c>
      <c r="G172" s="95" t="s">
        <v>421</v>
      </c>
      <c r="H172" s="93" t="s">
        <v>81</v>
      </c>
      <c r="I172" s="96">
        <f>IF(H172="ILF",IF($C$1="预估功能点",'模板使用说明&amp;基础参数'!$E$15,7),IF(H172="EIF",IF($C$1="预估功能点",'模板使用说明&amp;基础参数'!$E$16,5),IF(H172="EI",IF($C$1="预估功能点",'模板使用说明&amp;基础参数'!$E$17,'模板使用说明&amp;基础参数'!$E$24),IF(H172="EO",IF($C$1="预估功能点",'模板使用说明&amp;基础参数'!$E$18,'模板使用说明&amp;基础参数'!$E$25),IF(H172="EQ",IF($C$1="预估功能点",'模板使用说明&amp;基础参数'!$E$19,'模板使用说明&amp;基础参数'!$E$26),"")))))</f>
        <v>4</v>
      </c>
      <c r="J172" s="97" t="s">
        <v>38</v>
      </c>
      <c r="K172" s="97" t="s">
        <v>78</v>
      </c>
      <c r="L172" s="98">
        <f>IF(I172="","",IF(J172="高",IF(K172="删除",I172*'模板使用说明&amp;基础参数'!$E$5*'模板使用说明&amp;基础参数'!$E$12,IF(K172="修改",I172*'模板使用说明&amp;基础参数'!$E$5*'模板使用说明&amp;基础参数'!$E$11,I172*'模板使用说明&amp;基础参数'!$E$5*'模板使用说明&amp;基础参数'!$E$10)),IF(J172="中",IF(K172="删除",I172*'模板使用说明&amp;基础参数'!$E$6*'模板使用说明&amp;基础参数'!$E$12,IF(K172="修改",I172*'模板使用说明&amp;基础参数'!$E$6*'模板使用说明&amp;基础参数'!$E$11,I172*'模板使用说明&amp;基础参数'!$E$6*'模板使用说明&amp;基础参数'!$E$10)),IF(K172="删除",I172*'模板使用说明&amp;基础参数'!$E$7*'模板使用说明&amp;基础参数'!$E$12,IF(K172="修改",I172*'模板使用说明&amp;基础参数'!$E$7*'模板使用说明&amp;基础参数'!$E$11,I172*'模板使用说明&amp;基础参数'!$E$7*'模板使用说明&amp;基础参数'!$E$10)))))</f>
        <v>1.06666666666667</v>
      </c>
      <c r="M172" s="95"/>
      <c r="N172" s="99"/>
      <c r="O172" s="100"/>
    </row>
    <row r="173" s="70" customFormat="1" ht="25" customHeight="1" spans="1:15">
      <c r="A173" s="93">
        <v>168</v>
      </c>
      <c r="B173" s="94" t="s">
        <v>72</v>
      </c>
      <c r="C173" s="95" t="s">
        <v>276</v>
      </c>
      <c r="D173" s="95" t="s">
        <v>277</v>
      </c>
      <c r="E173" s="95" t="s">
        <v>277</v>
      </c>
      <c r="F173" s="95" t="s">
        <v>422</v>
      </c>
      <c r="G173" s="95" t="s">
        <v>423</v>
      </c>
      <c r="H173" s="93" t="s">
        <v>84</v>
      </c>
      <c r="I173" s="96">
        <f>IF(H173="ILF",IF($C$1="预估功能点",'模板使用说明&amp;基础参数'!$E$15,7),IF(H173="EIF",IF($C$1="预估功能点",'模板使用说明&amp;基础参数'!$E$16,5),IF(H173="EI",IF($C$1="预估功能点",'模板使用说明&amp;基础参数'!$E$17,'模板使用说明&amp;基础参数'!$E$24),IF(H173="EO",IF($C$1="预估功能点",'模板使用说明&amp;基础参数'!$E$18,'模板使用说明&amp;基础参数'!$E$25),IF(H173="EQ",IF($C$1="预估功能点",'模板使用说明&amp;基础参数'!$E$19,'模板使用说明&amp;基础参数'!$E$26),"")))))</f>
        <v>4</v>
      </c>
      <c r="J173" s="97" t="s">
        <v>38</v>
      </c>
      <c r="K173" s="97" t="s">
        <v>78</v>
      </c>
      <c r="L173" s="98">
        <f>IF(I173="","",IF(J173="高",IF(K173="删除",I173*'模板使用说明&amp;基础参数'!$E$5*'模板使用说明&amp;基础参数'!$E$12,IF(K173="修改",I173*'模板使用说明&amp;基础参数'!$E$5*'模板使用说明&amp;基础参数'!$E$11,I173*'模板使用说明&amp;基础参数'!$E$5*'模板使用说明&amp;基础参数'!$E$10)),IF(J173="中",IF(K173="删除",I173*'模板使用说明&amp;基础参数'!$E$6*'模板使用说明&amp;基础参数'!$E$12,IF(K173="修改",I173*'模板使用说明&amp;基础参数'!$E$6*'模板使用说明&amp;基础参数'!$E$11,I173*'模板使用说明&amp;基础参数'!$E$6*'模板使用说明&amp;基础参数'!$E$10)),IF(K173="删除",I173*'模板使用说明&amp;基础参数'!$E$7*'模板使用说明&amp;基础参数'!$E$12,IF(K173="修改",I173*'模板使用说明&amp;基础参数'!$E$7*'模板使用说明&amp;基础参数'!$E$11,I173*'模板使用说明&amp;基础参数'!$E$7*'模板使用说明&amp;基础参数'!$E$10)))))</f>
        <v>1.06666666666667</v>
      </c>
      <c r="M173" s="95"/>
      <c r="N173" s="99"/>
      <c r="O173" s="100"/>
    </row>
    <row r="174" s="70" customFormat="1" ht="25" customHeight="1" spans="1:15">
      <c r="A174" s="93">
        <v>169</v>
      </c>
      <c r="B174" s="94" t="s">
        <v>72</v>
      </c>
      <c r="C174" s="95" t="s">
        <v>276</v>
      </c>
      <c r="D174" s="95" t="s">
        <v>277</v>
      </c>
      <c r="E174" s="95" t="s">
        <v>277</v>
      </c>
      <c r="F174" s="95" t="s">
        <v>424</v>
      </c>
      <c r="G174" s="95" t="s">
        <v>425</v>
      </c>
      <c r="H174" s="93" t="s">
        <v>84</v>
      </c>
      <c r="I174" s="96">
        <f>IF(H174="ILF",IF($C$1="预估功能点",'模板使用说明&amp;基础参数'!$E$15,7),IF(H174="EIF",IF($C$1="预估功能点",'模板使用说明&amp;基础参数'!$E$16,5),IF(H174="EI",IF($C$1="预估功能点",'模板使用说明&amp;基础参数'!$E$17,'模板使用说明&amp;基础参数'!$E$24),IF(H174="EO",IF($C$1="预估功能点",'模板使用说明&amp;基础参数'!$E$18,'模板使用说明&amp;基础参数'!$E$25),IF(H174="EQ",IF($C$1="预估功能点",'模板使用说明&amp;基础参数'!$E$19,'模板使用说明&amp;基础参数'!$E$26),"")))))</f>
        <v>4</v>
      </c>
      <c r="J174" s="97" t="s">
        <v>38</v>
      </c>
      <c r="K174" s="97" t="s">
        <v>78</v>
      </c>
      <c r="L174" s="98">
        <f>IF(I174="","",IF(J174="高",IF(K174="删除",I174*'模板使用说明&amp;基础参数'!$E$5*'模板使用说明&amp;基础参数'!$E$12,IF(K174="修改",I174*'模板使用说明&amp;基础参数'!$E$5*'模板使用说明&amp;基础参数'!$E$11,I174*'模板使用说明&amp;基础参数'!$E$5*'模板使用说明&amp;基础参数'!$E$10)),IF(J174="中",IF(K174="删除",I174*'模板使用说明&amp;基础参数'!$E$6*'模板使用说明&amp;基础参数'!$E$12,IF(K174="修改",I174*'模板使用说明&amp;基础参数'!$E$6*'模板使用说明&amp;基础参数'!$E$11,I174*'模板使用说明&amp;基础参数'!$E$6*'模板使用说明&amp;基础参数'!$E$10)),IF(K174="删除",I174*'模板使用说明&amp;基础参数'!$E$7*'模板使用说明&amp;基础参数'!$E$12,IF(K174="修改",I174*'模板使用说明&amp;基础参数'!$E$7*'模板使用说明&amp;基础参数'!$E$11,I174*'模板使用说明&amp;基础参数'!$E$7*'模板使用说明&amp;基础参数'!$E$10)))))</f>
        <v>1.06666666666667</v>
      </c>
      <c r="M174" s="95"/>
      <c r="N174" s="99"/>
      <c r="O174" s="100"/>
    </row>
    <row r="175" s="70" customFormat="1" ht="25" customHeight="1" spans="1:15">
      <c r="A175" s="93">
        <v>170</v>
      </c>
      <c r="B175" s="94" t="s">
        <v>72</v>
      </c>
      <c r="C175" s="95" t="s">
        <v>276</v>
      </c>
      <c r="D175" s="95" t="s">
        <v>277</v>
      </c>
      <c r="E175" s="95" t="s">
        <v>277</v>
      </c>
      <c r="F175" s="95" t="s">
        <v>426</v>
      </c>
      <c r="G175" s="95" t="s">
        <v>427</v>
      </c>
      <c r="H175" s="93" t="s">
        <v>84</v>
      </c>
      <c r="I175" s="96">
        <f>IF(H175="ILF",IF($C$1="预估功能点",'模板使用说明&amp;基础参数'!$E$15,7),IF(H175="EIF",IF($C$1="预估功能点",'模板使用说明&amp;基础参数'!$E$16,5),IF(H175="EI",IF($C$1="预估功能点",'模板使用说明&amp;基础参数'!$E$17,'模板使用说明&amp;基础参数'!$E$24),IF(H175="EO",IF($C$1="预估功能点",'模板使用说明&amp;基础参数'!$E$18,'模板使用说明&amp;基础参数'!$E$25),IF(H175="EQ",IF($C$1="预估功能点",'模板使用说明&amp;基础参数'!$E$19,'模板使用说明&amp;基础参数'!$E$26),"")))))</f>
        <v>4</v>
      </c>
      <c r="J175" s="97" t="s">
        <v>38</v>
      </c>
      <c r="K175" s="97" t="s">
        <v>78</v>
      </c>
      <c r="L175" s="98">
        <f>IF(I175="","",IF(J175="高",IF(K175="删除",I175*'模板使用说明&amp;基础参数'!$E$5*'模板使用说明&amp;基础参数'!$E$12,IF(K175="修改",I175*'模板使用说明&amp;基础参数'!$E$5*'模板使用说明&amp;基础参数'!$E$11,I175*'模板使用说明&amp;基础参数'!$E$5*'模板使用说明&amp;基础参数'!$E$10)),IF(J175="中",IF(K175="删除",I175*'模板使用说明&amp;基础参数'!$E$6*'模板使用说明&amp;基础参数'!$E$12,IF(K175="修改",I175*'模板使用说明&amp;基础参数'!$E$6*'模板使用说明&amp;基础参数'!$E$11,I175*'模板使用说明&amp;基础参数'!$E$6*'模板使用说明&amp;基础参数'!$E$10)),IF(K175="删除",I175*'模板使用说明&amp;基础参数'!$E$7*'模板使用说明&amp;基础参数'!$E$12,IF(K175="修改",I175*'模板使用说明&amp;基础参数'!$E$7*'模板使用说明&amp;基础参数'!$E$11,I175*'模板使用说明&amp;基础参数'!$E$7*'模板使用说明&amp;基础参数'!$E$10)))))</f>
        <v>1.06666666666667</v>
      </c>
      <c r="M175" s="95"/>
      <c r="N175" s="99"/>
      <c r="O175" s="100"/>
    </row>
    <row r="176" s="70" customFormat="1" ht="25" customHeight="1" spans="1:15">
      <c r="A176" s="93">
        <v>171</v>
      </c>
      <c r="B176" s="94" t="s">
        <v>72</v>
      </c>
      <c r="C176" s="95" t="s">
        <v>276</v>
      </c>
      <c r="D176" s="95" t="s">
        <v>277</v>
      </c>
      <c r="E176" s="95" t="s">
        <v>277</v>
      </c>
      <c r="F176" s="95" t="s">
        <v>428</v>
      </c>
      <c r="G176" s="95" t="s">
        <v>429</v>
      </c>
      <c r="H176" s="93" t="s">
        <v>77</v>
      </c>
      <c r="I176" s="96">
        <f>IF(H176="ILF",IF($C$1="预估功能点",'模板使用说明&amp;基础参数'!$E$15,7),IF(H176="EIF",IF($C$1="预估功能点",'模板使用说明&amp;基础参数'!$E$16,5),IF(H176="EI",IF($C$1="预估功能点",'模板使用说明&amp;基础参数'!$E$17,'模板使用说明&amp;基础参数'!$E$24),IF(H176="EO",IF($C$1="预估功能点",'模板使用说明&amp;基础参数'!$E$18,'模板使用说明&amp;基础参数'!$E$25),IF(H176="EQ",IF($C$1="预估功能点",'模板使用说明&amp;基础参数'!$E$19,'模板使用说明&amp;基础参数'!$E$26),"")))))</f>
        <v>7</v>
      </c>
      <c r="J176" s="97" t="s">
        <v>38</v>
      </c>
      <c r="K176" s="97" t="s">
        <v>78</v>
      </c>
      <c r="L176" s="98">
        <f>IF(I176="","",IF(J176="高",IF(K176="删除",I176*'模板使用说明&amp;基础参数'!$E$5*'模板使用说明&amp;基础参数'!$E$12,IF(K176="修改",I176*'模板使用说明&amp;基础参数'!$E$5*'模板使用说明&amp;基础参数'!$E$11,I176*'模板使用说明&amp;基础参数'!$E$5*'模板使用说明&amp;基础参数'!$E$10)),IF(J176="中",IF(K176="删除",I176*'模板使用说明&amp;基础参数'!$E$6*'模板使用说明&amp;基础参数'!$E$12,IF(K176="修改",I176*'模板使用说明&amp;基础参数'!$E$6*'模板使用说明&amp;基础参数'!$E$11,I176*'模板使用说明&amp;基础参数'!$E$6*'模板使用说明&amp;基础参数'!$E$10)),IF(K176="删除",I176*'模板使用说明&amp;基础参数'!$E$7*'模板使用说明&amp;基础参数'!$E$12,IF(K176="修改",I176*'模板使用说明&amp;基础参数'!$E$7*'模板使用说明&amp;基础参数'!$E$11,I176*'模板使用说明&amp;基础参数'!$E$7*'模板使用说明&amp;基础参数'!$E$10)))))</f>
        <v>1.86666666666666</v>
      </c>
      <c r="M176" s="95"/>
      <c r="N176" s="99"/>
      <c r="O176" s="100"/>
    </row>
    <row r="177" s="70" customFormat="1" ht="25" customHeight="1" spans="1:15">
      <c r="A177" s="93">
        <v>172</v>
      </c>
      <c r="B177" s="94" t="s">
        <v>72</v>
      </c>
      <c r="C177" s="95" t="s">
        <v>276</v>
      </c>
      <c r="D177" s="95" t="s">
        <v>277</v>
      </c>
      <c r="E177" s="95" t="s">
        <v>277</v>
      </c>
      <c r="F177" s="95" t="s">
        <v>430</v>
      </c>
      <c r="G177" s="95" t="s">
        <v>431</v>
      </c>
      <c r="H177" s="93" t="s">
        <v>81</v>
      </c>
      <c r="I177" s="96">
        <f>IF(H177="ILF",IF($C$1="预估功能点",'模板使用说明&amp;基础参数'!$E$15,7),IF(H177="EIF",IF($C$1="预估功能点",'模板使用说明&amp;基础参数'!$E$16,5),IF(H177="EI",IF($C$1="预估功能点",'模板使用说明&amp;基础参数'!$E$17,'模板使用说明&amp;基础参数'!$E$24),IF(H177="EO",IF($C$1="预估功能点",'模板使用说明&amp;基础参数'!$E$18,'模板使用说明&amp;基础参数'!$E$25),IF(H177="EQ",IF($C$1="预估功能点",'模板使用说明&amp;基础参数'!$E$19,'模板使用说明&amp;基础参数'!$E$26),"")))))</f>
        <v>4</v>
      </c>
      <c r="J177" s="97" t="s">
        <v>38</v>
      </c>
      <c r="K177" s="97" t="s">
        <v>78</v>
      </c>
      <c r="L177" s="98">
        <f>IF(I177="","",IF(J177="高",IF(K177="删除",I177*'模板使用说明&amp;基础参数'!$E$5*'模板使用说明&amp;基础参数'!$E$12,IF(K177="修改",I177*'模板使用说明&amp;基础参数'!$E$5*'模板使用说明&amp;基础参数'!$E$11,I177*'模板使用说明&amp;基础参数'!$E$5*'模板使用说明&amp;基础参数'!$E$10)),IF(J177="中",IF(K177="删除",I177*'模板使用说明&amp;基础参数'!$E$6*'模板使用说明&amp;基础参数'!$E$12,IF(K177="修改",I177*'模板使用说明&amp;基础参数'!$E$6*'模板使用说明&amp;基础参数'!$E$11,I177*'模板使用说明&amp;基础参数'!$E$6*'模板使用说明&amp;基础参数'!$E$10)),IF(K177="删除",I177*'模板使用说明&amp;基础参数'!$E$7*'模板使用说明&amp;基础参数'!$E$12,IF(K177="修改",I177*'模板使用说明&amp;基础参数'!$E$7*'模板使用说明&amp;基础参数'!$E$11,I177*'模板使用说明&amp;基础参数'!$E$7*'模板使用说明&amp;基础参数'!$E$10)))))</f>
        <v>1.06666666666667</v>
      </c>
      <c r="M177" s="95"/>
      <c r="N177" s="99"/>
      <c r="O177" s="100"/>
    </row>
    <row r="178" s="70" customFormat="1" ht="25" customHeight="1" spans="1:15">
      <c r="A178" s="93">
        <v>173</v>
      </c>
      <c r="B178" s="94" t="s">
        <v>72</v>
      </c>
      <c r="C178" s="95" t="s">
        <v>276</v>
      </c>
      <c r="D178" s="95" t="s">
        <v>277</v>
      </c>
      <c r="E178" s="95" t="s">
        <v>277</v>
      </c>
      <c r="F178" s="95" t="s">
        <v>432</v>
      </c>
      <c r="G178" s="95" t="s">
        <v>433</v>
      </c>
      <c r="H178" s="93" t="s">
        <v>84</v>
      </c>
      <c r="I178" s="96">
        <f>IF(H178="ILF",IF($C$1="预估功能点",'模板使用说明&amp;基础参数'!$E$15,7),IF(H178="EIF",IF($C$1="预估功能点",'模板使用说明&amp;基础参数'!$E$16,5),IF(H178="EI",IF($C$1="预估功能点",'模板使用说明&amp;基础参数'!$E$17,'模板使用说明&amp;基础参数'!$E$24),IF(H178="EO",IF($C$1="预估功能点",'模板使用说明&amp;基础参数'!$E$18,'模板使用说明&amp;基础参数'!$E$25),IF(H178="EQ",IF($C$1="预估功能点",'模板使用说明&amp;基础参数'!$E$19,'模板使用说明&amp;基础参数'!$E$26),"")))))</f>
        <v>4</v>
      </c>
      <c r="J178" s="97" t="s">
        <v>38</v>
      </c>
      <c r="K178" s="97" t="s">
        <v>78</v>
      </c>
      <c r="L178" s="98">
        <f>IF(I178="","",IF(J178="高",IF(K178="删除",I178*'模板使用说明&amp;基础参数'!$E$5*'模板使用说明&amp;基础参数'!$E$12,IF(K178="修改",I178*'模板使用说明&amp;基础参数'!$E$5*'模板使用说明&amp;基础参数'!$E$11,I178*'模板使用说明&amp;基础参数'!$E$5*'模板使用说明&amp;基础参数'!$E$10)),IF(J178="中",IF(K178="删除",I178*'模板使用说明&amp;基础参数'!$E$6*'模板使用说明&amp;基础参数'!$E$12,IF(K178="修改",I178*'模板使用说明&amp;基础参数'!$E$6*'模板使用说明&amp;基础参数'!$E$11,I178*'模板使用说明&amp;基础参数'!$E$6*'模板使用说明&amp;基础参数'!$E$10)),IF(K178="删除",I178*'模板使用说明&amp;基础参数'!$E$7*'模板使用说明&amp;基础参数'!$E$12,IF(K178="修改",I178*'模板使用说明&amp;基础参数'!$E$7*'模板使用说明&amp;基础参数'!$E$11,I178*'模板使用说明&amp;基础参数'!$E$7*'模板使用说明&amp;基础参数'!$E$10)))))</f>
        <v>1.06666666666667</v>
      </c>
      <c r="M178" s="95"/>
      <c r="N178" s="99"/>
      <c r="O178" s="100"/>
    </row>
    <row r="179" s="70" customFormat="1" ht="25" customHeight="1" spans="1:15">
      <c r="A179" s="93">
        <v>174</v>
      </c>
      <c r="B179" s="94" t="s">
        <v>72</v>
      </c>
      <c r="C179" s="95" t="s">
        <v>276</v>
      </c>
      <c r="D179" s="95" t="s">
        <v>277</v>
      </c>
      <c r="E179" s="95" t="s">
        <v>277</v>
      </c>
      <c r="F179" s="95" t="s">
        <v>434</v>
      </c>
      <c r="G179" s="95" t="s">
        <v>435</v>
      </c>
      <c r="H179" s="93" t="s">
        <v>84</v>
      </c>
      <c r="I179" s="96">
        <f>IF(H179="ILF",IF($C$1="预估功能点",'模板使用说明&amp;基础参数'!$E$15,7),IF(H179="EIF",IF($C$1="预估功能点",'模板使用说明&amp;基础参数'!$E$16,5),IF(H179="EI",IF($C$1="预估功能点",'模板使用说明&amp;基础参数'!$E$17,'模板使用说明&amp;基础参数'!$E$24),IF(H179="EO",IF($C$1="预估功能点",'模板使用说明&amp;基础参数'!$E$18,'模板使用说明&amp;基础参数'!$E$25),IF(H179="EQ",IF($C$1="预估功能点",'模板使用说明&amp;基础参数'!$E$19,'模板使用说明&amp;基础参数'!$E$26),"")))))</f>
        <v>4</v>
      </c>
      <c r="J179" s="97" t="s">
        <v>38</v>
      </c>
      <c r="K179" s="97" t="s">
        <v>78</v>
      </c>
      <c r="L179" s="98">
        <f>IF(I179="","",IF(J179="高",IF(K179="删除",I179*'模板使用说明&amp;基础参数'!$E$5*'模板使用说明&amp;基础参数'!$E$12,IF(K179="修改",I179*'模板使用说明&amp;基础参数'!$E$5*'模板使用说明&amp;基础参数'!$E$11,I179*'模板使用说明&amp;基础参数'!$E$5*'模板使用说明&amp;基础参数'!$E$10)),IF(J179="中",IF(K179="删除",I179*'模板使用说明&amp;基础参数'!$E$6*'模板使用说明&amp;基础参数'!$E$12,IF(K179="修改",I179*'模板使用说明&amp;基础参数'!$E$6*'模板使用说明&amp;基础参数'!$E$11,I179*'模板使用说明&amp;基础参数'!$E$6*'模板使用说明&amp;基础参数'!$E$10)),IF(K179="删除",I179*'模板使用说明&amp;基础参数'!$E$7*'模板使用说明&amp;基础参数'!$E$12,IF(K179="修改",I179*'模板使用说明&amp;基础参数'!$E$7*'模板使用说明&amp;基础参数'!$E$11,I179*'模板使用说明&amp;基础参数'!$E$7*'模板使用说明&amp;基础参数'!$E$10)))))</f>
        <v>1.06666666666667</v>
      </c>
      <c r="M179" s="95"/>
      <c r="N179" s="99"/>
      <c r="O179" s="100"/>
    </row>
    <row r="180" s="70" customFormat="1" ht="25" customHeight="1" spans="1:15">
      <c r="A180" s="93">
        <v>175</v>
      </c>
      <c r="B180" s="94" t="s">
        <v>72</v>
      </c>
      <c r="C180" s="95" t="s">
        <v>276</v>
      </c>
      <c r="D180" s="95" t="s">
        <v>277</v>
      </c>
      <c r="E180" s="95" t="s">
        <v>277</v>
      </c>
      <c r="F180" s="95" t="s">
        <v>436</v>
      </c>
      <c r="G180" s="95" t="s">
        <v>437</v>
      </c>
      <c r="H180" s="93" t="s">
        <v>84</v>
      </c>
      <c r="I180" s="96">
        <f>IF(H180="ILF",IF($C$1="预估功能点",'模板使用说明&amp;基础参数'!$E$15,7),IF(H180="EIF",IF($C$1="预估功能点",'模板使用说明&amp;基础参数'!$E$16,5),IF(H180="EI",IF($C$1="预估功能点",'模板使用说明&amp;基础参数'!$E$17,'模板使用说明&amp;基础参数'!$E$24),IF(H180="EO",IF($C$1="预估功能点",'模板使用说明&amp;基础参数'!$E$18,'模板使用说明&amp;基础参数'!$E$25),IF(H180="EQ",IF($C$1="预估功能点",'模板使用说明&amp;基础参数'!$E$19,'模板使用说明&amp;基础参数'!$E$26),"")))))</f>
        <v>4</v>
      </c>
      <c r="J180" s="97" t="s">
        <v>38</v>
      </c>
      <c r="K180" s="97" t="s">
        <v>78</v>
      </c>
      <c r="L180" s="98">
        <f>IF(I180="","",IF(J180="高",IF(K180="删除",I180*'模板使用说明&amp;基础参数'!$E$5*'模板使用说明&amp;基础参数'!$E$12,IF(K180="修改",I180*'模板使用说明&amp;基础参数'!$E$5*'模板使用说明&amp;基础参数'!$E$11,I180*'模板使用说明&amp;基础参数'!$E$5*'模板使用说明&amp;基础参数'!$E$10)),IF(J180="中",IF(K180="删除",I180*'模板使用说明&amp;基础参数'!$E$6*'模板使用说明&amp;基础参数'!$E$12,IF(K180="修改",I180*'模板使用说明&amp;基础参数'!$E$6*'模板使用说明&amp;基础参数'!$E$11,I180*'模板使用说明&amp;基础参数'!$E$6*'模板使用说明&amp;基础参数'!$E$10)),IF(K180="删除",I180*'模板使用说明&amp;基础参数'!$E$7*'模板使用说明&amp;基础参数'!$E$12,IF(K180="修改",I180*'模板使用说明&amp;基础参数'!$E$7*'模板使用说明&amp;基础参数'!$E$11,I180*'模板使用说明&amp;基础参数'!$E$7*'模板使用说明&amp;基础参数'!$E$10)))))</f>
        <v>1.06666666666667</v>
      </c>
      <c r="M180" s="95"/>
      <c r="N180" s="99"/>
      <c r="O180" s="100"/>
    </row>
    <row r="181" s="70" customFormat="1" ht="25" customHeight="1" spans="1:15">
      <c r="A181" s="93">
        <v>176</v>
      </c>
      <c r="B181" s="94" t="s">
        <v>72</v>
      </c>
      <c r="C181" s="95" t="s">
        <v>276</v>
      </c>
      <c r="D181" s="95" t="s">
        <v>277</v>
      </c>
      <c r="E181" s="95" t="s">
        <v>277</v>
      </c>
      <c r="F181" s="95" t="s">
        <v>438</v>
      </c>
      <c r="G181" s="95" t="s">
        <v>439</v>
      </c>
      <c r="H181" s="93" t="s">
        <v>77</v>
      </c>
      <c r="I181" s="96">
        <f>IF(H181="ILF",IF($C$1="预估功能点",'模板使用说明&amp;基础参数'!$E$15,7),IF(H181="EIF",IF($C$1="预估功能点",'模板使用说明&amp;基础参数'!$E$16,5),IF(H181="EI",IF($C$1="预估功能点",'模板使用说明&amp;基础参数'!$E$17,'模板使用说明&amp;基础参数'!$E$24),IF(H181="EO",IF($C$1="预估功能点",'模板使用说明&amp;基础参数'!$E$18,'模板使用说明&amp;基础参数'!$E$25),IF(H181="EQ",IF($C$1="预估功能点",'模板使用说明&amp;基础参数'!$E$19,'模板使用说明&amp;基础参数'!$E$26),"")))))</f>
        <v>7</v>
      </c>
      <c r="J181" s="97" t="s">
        <v>38</v>
      </c>
      <c r="K181" s="97" t="s">
        <v>78</v>
      </c>
      <c r="L181" s="98">
        <f>IF(I181="","",IF(J181="高",IF(K181="删除",I181*'模板使用说明&amp;基础参数'!$E$5*'模板使用说明&amp;基础参数'!$E$12,IF(K181="修改",I181*'模板使用说明&amp;基础参数'!$E$5*'模板使用说明&amp;基础参数'!$E$11,I181*'模板使用说明&amp;基础参数'!$E$5*'模板使用说明&amp;基础参数'!$E$10)),IF(J181="中",IF(K181="删除",I181*'模板使用说明&amp;基础参数'!$E$6*'模板使用说明&amp;基础参数'!$E$12,IF(K181="修改",I181*'模板使用说明&amp;基础参数'!$E$6*'模板使用说明&amp;基础参数'!$E$11,I181*'模板使用说明&amp;基础参数'!$E$6*'模板使用说明&amp;基础参数'!$E$10)),IF(K181="删除",I181*'模板使用说明&amp;基础参数'!$E$7*'模板使用说明&amp;基础参数'!$E$12,IF(K181="修改",I181*'模板使用说明&amp;基础参数'!$E$7*'模板使用说明&amp;基础参数'!$E$11,I181*'模板使用说明&amp;基础参数'!$E$7*'模板使用说明&amp;基础参数'!$E$10)))))</f>
        <v>1.86666666666666</v>
      </c>
      <c r="M181" s="95"/>
      <c r="N181" s="99"/>
      <c r="O181" s="100"/>
    </row>
    <row r="182" s="70" customFormat="1" ht="25" customHeight="1" spans="1:15">
      <c r="A182" s="93">
        <v>177</v>
      </c>
      <c r="B182" s="94" t="s">
        <v>72</v>
      </c>
      <c r="C182" s="95" t="s">
        <v>276</v>
      </c>
      <c r="D182" s="95" t="s">
        <v>277</v>
      </c>
      <c r="E182" s="95" t="s">
        <v>277</v>
      </c>
      <c r="F182" s="95" t="s">
        <v>440</v>
      </c>
      <c r="G182" s="95" t="s">
        <v>441</v>
      </c>
      <c r="H182" s="93" t="s">
        <v>81</v>
      </c>
      <c r="I182" s="96">
        <f>IF(H182="ILF",IF($C$1="预估功能点",'模板使用说明&amp;基础参数'!$E$15,7),IF(H182="EIF",IF($C$1="预估功能点",'模板使用说明&amp;基础参数'!$E$16,5),IF(H182="EI",IF($C$1="预估功能点",'模板使用说明&amp;基础参数'!$E$17,'模板使用说明&amp;基础参数'!$E$24),IF(H182="EO",IF($C$1="预估功能点",'模板使用说明&amp;基础参数'!$E$18,'模板使用说明&amp;基础参数'!$E$25),IF(H182="EQ",IF($C$1="预估功能点",'模板使用说明&amp;基础参数'!$E$19,'模板使用说明&amp;基础参数'!$E$26),"")))))</f>
        <v>4</v>
      </c>
      <c r="J182" s="97" t="s">
        <v>38</v>
      </c>
      <c r="K182" s="97" t="s">
        <v>78</v>
      </c>
      <c r="L182" s="98">
        <f>IF(I182="","",IF(J182="高",IF(K182="删除",I182*'模板使用说明&amp;基础参数'!$E$5*'模板使用说明&amp;基础参数'!$E$12,IF(K182="修改",I182*'模板使用说明&amp;基础参数'!$E$5*'模板使用说明&amp;基础参数'!$E$11,I182*'模板使用说明&amp;基础参数'!$E$5*'模板使用说明&amp;基础参数'!$E$10)),IF(J182="中",IF(K182="删除",I182*'模板使用说明&amp;基础参数'!$E$6*'模板使用说明&amp;基础参数'!$E$12,IF(K182="修改",I182*'模板使用说明&amp;基础参数'!$E$6*'模板使用说明&amp;基础参数'!$E$11,I182*'模板使用说明&amp;基础参数'!$E$6*'模板使用说明&amp;基础参数'!$E$10)),IF(K182="删除",I182*'模板使用说明&amp;基础参数'!$E$7*'模板使用说明&amp;基础参数'!$E$12,IF(K182="修改",I182*'模板使用说明&amp;基础参数'!$E$7*'模板使用说明&amp;基础参数'!$E$11,I182*'模板使用说明&amp;基础参数'!$E$7*'模板使用说明&amp;基础参数'!$E$10)))))</f>
        <v>1.06666666666667</v>
      </c>
      <c r="M182" s="95"/>
      <c r="N182" s="99"/>
      <c r="O182" s="100"/>
    </row>
    <row r="183" s="70" customFormat="1" ht="25" customHeight="1" spans="1:15">
      <c r="A183" s="93">
        <v>178</v>
      </c>
      <c r="B183" s="94" t="s">
        <v>72</v>
      </c>
      <c r="C183" s="95" t="s">
        <v>276</v>
      </c>
      <c r="D183" s="95" t="s">
        <v>277</v>
      </c>
      <c r="E183" s="95" t="s">
        <v>277</v>
      </c>
      <c r="F183" s="95" t="s">
        <v>442</v>
      </c>
      <c r="G183" s="95" t="s">
        <v>443</v>
      </c>
      <c r="H183" s="93" t="s">
        <v>84</v>
      </c>
      <c r="I183" s="96">
        <f>IF(H183="ILF",IF($C$1="预估功能点",'模板使用说明&amp;基础参数'!$E$15,7),IF(H183="EIF",IF($C$1="预估功能点",'模板使用说明&amp;基础参数'!$E$16,5),IF(H183="EI",IF($C$1="预估功能点",'模板使用说明&amp;基础参数'!$E$17,'模板使用说明&amp;基础参数'!$E$24),IF(H183="EO",IF($C$1="预估功能点",'模板使用说明&amp;基础参数'!$E$18,'模板使用说明&amp;基础参数'!$E$25),IF(H183="EQ",IF($C$1="预估功能点",'模板使用说明&amp;基础参数'!$E$19,'模板使用说明&amp;基础参数'!$E$26),"")))))</f>
        <v>4</v>
      </c>
      <c r="J183" s="97" t="s">
        <v>38</v>
      </c>
      <c r="K183" s="97" t="s">
        <v>78</v>
      </c>
      <c r="L183" s="98">
        <f>IF(I183="","",IF(J183="高",IF(K183="删除",I183*'模板使用说明&amp;基础参数'!$E$5*'模板使用说明&amp;基础参数'!$E$12,IF(K183="修改",I183*'模板使用说明&amp;基础参数'!$E$5*'模板使用说明&amp;基础参数'!$E$11,I183*'模板使用说明&amp;基础参数'!$E$5*'模板使用说明&amp;基础参数'!$E$10)),IF(J183="中",IF(K183="删除",I183*'模板使用说明&amp;基础参数'!$E$6*'模板使用说明&amp;基础参数'!$E$12,IF(K183="修改",I183*'模板使用说明&amp;基础参数'!$E$6*'模板使用说明&amp;基础参数'!$E$11,I183*'模板使用说明&amp;基础参数'!$E$6*'模板使用说明&amp;基础参数'!$E$10)),IF(K183="删除",I183*'模板使用说明&amp;基础参数'!$E$7*'模板使用说明&amp;基础参数'!$E$12,IF(K183="修改",I183*'模板使用说明&amp;基础参数'!$E$7*'模板使用说明&amp;基础参数'!$E$11,I183*'模板使用说明&amp;基础参数'!$E$7*'模板使用说明&amp;基础参数'!$E$10)))))</f>
        <v>1.06666666666667</v>
      </c>
      <c r="M183" s="95"/>
      <c r="N183" s="99"/>
      <c r="O183" s="100"/>
    </row>
    <row r="184" s="70" customFormat="1" ht="25" customHeight="1" spans="1:15">
      <c r="A184" s="93">
        <v>179</v>
      </c>
      <c r="B184" s="94" t="s">
        <v>72</v>
      </c>
      <c r="C184" s="95" t="s">
        <v>276</v>
      </c>
      <c r="D184" s="95" t="s">
        <v>277</v>
      </c>
      <c r="E184" s="95" t="s">
        <v>277</v>
      </c>
      <c r="F184" s="95" t="s">
        <v>444</v>
      </c>
      <c r="G184" s="95" t="s">
        <v>445</v>
      </c>
      <c r="H184" s="93" t="s">
        <v>84</v>
      </c>
      <c r="I184" s="96">
        <f>IF(H184="ILF",IF($C$1="预估功能点",'模板使用说明&amp;基础参数'!$E$15,7),IF(H184="EIF",IF($C$1="预估功能点",'模板使用说明&amp;基础参数'!$E$16,5),IF(H184="EI",IF($C$1="预估功能点",'模板使用说明&amp;基础参数'!$E$17,'模板使用说明&amp;基础参数'!$E$24),IF(H184="EO",IF($C$1="预估功能点",'模板使用说明&amp;基础参数'!$E$18,'模板使用说明&amp;基础参数'!$E$25),IF(H184="EQ",IF($C$1="预估功能点",'模板使用说明&amp;基础参数'!$E$19,'模板使用说明&amp;基础参数'!$E$26),"")))))</f>
        <v>4</v>
      </c>
      <c r="J184" s="97" t="s">
        <v>38</v>
      </c>
      <c r="K184" s="97" t="s">
        <v>78</v>
      </c>
      <c r="L184" s="98">
        <f>IF(I184="","",IF(J184="高",IF(K184="删除",I184*'模板使用说明&amp;基础参数'!$E$5*'模板使用说明&amp;基础参数'!$E$12,IF(K184="修改",I184*'模板使用说明&amp;基础参数'!$E$5*'模板使用说明&amp;基础参数'!$E$11,I184*'模板使用说明&amp;基础参数'!$E$5*'模板使用说明&amp;基础参数'!$E$10)),IF(J184="中",IF(K184="删除",I184*'模板使用说明&amp;基础参数'!$E$6*'模板使用说明&amp;基础参数'!$E$12,IF(K184="修改",I184*'模板使用说明&amp;基础参数'!$E$6*'模板使用说明&amp;基础参数'!$E$11,I184*'模板使用说明&amp;基础参数'!$E$6*'模板使用说明&amp;基础参数'!$E$10)),IF(K184="删除",I184*'模板使用说明&amp;基础参数'!$E$7*'模板使用说明&amp;基础参数'!$E$12,IF(K184="修改",I184*'模板使用说明&amp;基础参数'!$E$7*'模板使用说明&amp;基础参数'!$E$11,I184*'模板使用说明&amp;基础参数'!$E$7*'模板使用说明&amp;基础参数'!$E$10)))))</f>
        <v>1.06666666666667</v>
      </c>
      <c r="M184" s="95"/>
      <c r="N184" s="99"/>
      <c r="O184" s="100"/>
    </row>
    <row r="185" s="70" customFormat="1" ht="25" customHeight="1" spans="1:15">
      <c r="A185" s="93">
        <v>180</v>
      </c>
      <c r="B185" s="94" t="s">
        <v>72</v>
      </c>
      <c r="C185" s="95" t="s">
        <v>276</v>
      </c>
      <c r="D185" s="95" t="s">
        <v>277</v>
      </c>
      <c r="E185" s="95" t="s">
        <v>277</v>
      </c>
      <c r="F185" s="95" t="s">
        <v>446</v>
      </c>
      <c r="G185" s="95" t="s">
        <v>447</v>
      </c>
      <c r="H185" s="93" t="s">
        <v>84</v>
      </c>
      <c r="I185" s="96">
        <f>IF(H185="ILF",IF($C$1="预估功能点",'模板使用说明&amp;基础参数'!$E$15,7),IF(H185="EIF",IF($C$1="预估功能点",'模板使用说明&amp;基础参数'!$E$16,5),IF(H185="EI",IF($C$1="预估功能点",'模板使用说明&amp;基础参数'!$E$17,'模板使用说明&amp;基础参数'!$E$24),IF(H185="EO",IF($C$1="预估功能点",'模板使用说明&amp;基础参数'!$E$18,'模板使用说明&amp;基础参数'!$E$25),IF(H185="EQ",IF($C$1="预估功能点",'模板使用说明&amp;基础参数'!$E$19,'模板使用说明&amp;基础参数'!$E$26),"")))))</f>
        <v>4</v>
      </c>
      <c r="J185" s="97" t="s">
        <v>38</v>
      </c>
      <c r="K185" s="97" t="s">
        <v>78</v>
      </c>
      <c r="L185" s="98">
        <f>IF(I185="","",IF(J185="高",IF(K185="删除",I185*'模板使用说明&amp;基础参数'!$E$5*'模板使用说明&amp;基础参数'!$E$12,IF(K185="修改",I185*'模板使用说明&amp;基础参数'!$E$5*'模板使用说明&amp;基础参数'!$E$11,I185*'模板使用说明&amp;基础参数'!$E$5*'模板使用说明&amp;基础参数'!$E$10)),IF(J185="中",IF(K185="删除",I185*'模板使用说明&amp;基础参数'!$E$6*'模板使用说明&amp;基础参数'!$E$12,IF(K185="修改",I185*'模板使用说明&amp;基础参数'!$E$6*'模板使用说明&amp;基础参数'!$E$11,I185*'模板使用说明&amp;基础参数'!$E$6*'模板使用说明&amp;基础参数'!$E$10)),IF(K185="删除",I185*'模板使用说明&amp;基础参数'!$E$7*'模板使用说明&amp;基础参数'!$E$12,IF(K185="修改",I185*'模板使用说明&amp;基础参数'!$E$7*'模板使用说明&amp;基础参数'!$E$11,I185*'模板使用说明&amp;基础参数'!$E$7*'模板使用说明&amp;基础参数'!$E$10)))))</f>
        <v>1.06666666666667</v>
      </c>
      <c r="M185" s="95"/>
      <c r="N185" s="99"/>
      <c r="O185" s="100"/>
    </row>
    <row r="186" s="70" customFormat="1" ht="25" customHeight="1" spans="1:15">
      <c r="A186" s="93">
        <v>181</v>
      </c>
      <c r="B186" s="94" t="s">
        <v>72</v>
      </c>
      <c r="C186" s="95" t="s">
        <v>276</v>
      </c>
      <c r="D186" s="95" t="s">
        <v>277</v>
      </c>
      <c r="E186" s="95" t="s">
        <v>277</v>
      </c>
      <c r="F186" s="95" t="s">
        <v>448</v>
      </c>
      <c r="G186" s="95" t="s">
        <v>449</v>
      </c>
      <c r="H186" s="93" t="s">
        <v>77</v>
      </c>
      <c r="I186" s="96">
        <f>IF(H186="ILF",IF($C$1="预估功能点",'模板使用说明&amp;基础参数'!$E$15,7),IF(H186="EIF",IF($C$1="预估功能点",'模板使用说明&amp;基础参数'!$E$16,5),IF(H186="EI",IF($C$1="预估功能点",'模板使用说明&amp;基础参数'!$E$17,'模板使用说明&amp;基础参数'!$E$24),IF(H186="EO",IF($C$1="预估功能点",'模板使用说明&amp;基础参数'!$E$18,'模板使用说明&amp;基础参数'!$E$25),IF(H186="EQ",IF($C$1="预估功能点",'模板使用说明&amp;基础参数'!$E$19,'模板使用说明&amp;基础参数'!$E$26),"")))))</f>
        <v>7</v>
      </c>
      <c r="J186" s="97" t="s">
        <v>38</v>
      </c>
      <c r="K186" s="97" t="s">
        <v>78</v>
      </c>
      <c r="L186" s="98">
        <f>IF(I186="","",IF(J186="高",IF(K186="删除",I186*'模板使用说明&amp;基础参数'!$E$5*'模板使用说明&amp;基础参数'!$E$12,IF(K186="修改",I186*'模板使用说明&amp;基础参数'!$E$5*'模板使用说明&amp;基础参数'!$E$11,I186*'模板使用说明&amp;基础参数'!$E$5*'模板使用说明&amp;基础参数'!$E$10)),IF(J186="中",IF(K186="删除",I186*'模板使用说明&amp;基础参数'!$E$6*'模板使用说明&amp;基础参数'!$E$12,IF(K186="修改",I186*'模板使用说明&amp;基础参数'!$E$6*'模板使用说明&amp;基础参数'!$E$11,I186*'模板使用说明&amp;基础参数'!$E$6*'模板使用说明&amp;基础参数'!$E$10)),IF(K186="删除",I186*'模板使用说明&amp;基础参数'!$E$7*'模板使用说明&amp;基础参数'!$E$12,IF(K186="修改",I186*'模板使用说明&amp;基础参数'!$E$7*'模板使用说明&amp;基础参数'!$E$11,I186*'模板使用说明&amp;基础参数'!$E$7*'模板使用说明&amp;基础参数'!$E$10)))))</f>
        <v>1.86666666666666</v>
      </c>
      <c r="M186" s="95"/>
      <c r="N186" s="99"/>
      <c r="O186" s="100"/>
    </row>
    <row r="187" s="70" customFormat="1" ht="25" customHeight="1" spans="1:15">
      <c r="A187" s="93">
        <v>182</v>
      </c>
      <c r="B187" s="94" t="s">
        <v>72</v>
      </c>
      <c r="C187" s="95" t="s">
        <v>276</v>
      </c>
      <c r="D187" s="95" t="s">
        <v>277</v>
      </c>
      <c r="E187" s="95" t="s">
        <v>277</v>
      </c>
      <c r="F187" s="95" t="s">
        <v>450</v>
      </c>
      <c r="G187" s="95" t="s">
        <v>451</v>
      </c>
      <c r="H187" s="93" t="s">
        <v>81</v>
      </c>
      <c r="I187" s="96">
        <f>IF(H187="ILF",IF($C$1="预估功能点",'模板使用说明&amp;基础参数'!$E$15,7),IF(H187="EIF",IF($C$1="预估功能点",'模板使用说明&amp;基础参数'!$E$16,5),IF(H187="EI",IF($C$1="预估功能点",'模板使用说明&amp;基础参数'!$E$17,'模板使用说明&amp;基础参数'!$E$24),IF(H187="EO",IF($C$1="预估功能点",'模板使用说明&amp;基础参数'!$E$18,'模板使用说明&amp;基础参数'!$E$25),IF(H187="EQ",IF($C$1="预估功能点",'模板使用说明&amp;基础参数'!$E$19,'模板使用说明&amp;基础参数'!$E$26),"")))))</f>
        <v>4</v>
      </c>
      <c r="J187" s="97" t="s">
        <v>38</v>
      </c>
      <c r="K187" s="97" t="s">
        <v>78</v>
      </c>
      <c r="L187" s="98">
        <f>IF(I187="","",IF(J187="高",IF(K187="删除",I187*'模板使用说明&amp;基础参数'!$E$5*'模板使用说明&amp;基础参数'!$E$12,IF(K187="修改",I187*'模板使用说明&amp;基础参数'!$E$5*'模板使用说明&amp;基础参数'!$E$11,I187*'模板使用说明&amp;基础参数'!$E$5*'模板使用说明&amp;基础参数'!$E$10)),IF(J187="中",IF(K187="删除",I187*'模板使用说明&amp;基础参数'!$E$6*'模板使用说明&amp;基础参数'!$E$12,IF(K187="修改",I187*'模板使用说明&amp;基础参数'!$E$6*'模板使用说明&amp;基础参数'!$E$11,I187*'模板使用说明&amp;基础参数'!$E$6*'模板使用说明&amp;基础参数'!$E$10)),IF(K187="删除",I187*'模板使用说明&amp;基础参数'!$E$7*'模板使用说明&amp;基础参数'!$E$12,IF(K187="修改",I187*'模板使用说明&amp;基础参数'!$E$7*'模板使用说明&amp;基础参数'!$E$11,I187*'模板使用说明&amp;基础参数'!$E$7*'模板使用说明&amp;基础参数'!$E$10)))))</f>
        <v>1.06666666666667</v>
      </c>
      <c r="M187" s="95"/>
      <c r="N187" s="99"/>
      <c r="O187" s="100"/>
    </row>
    <row r="188" s="70" customFormat="1" ht="25" customHeight="1" spans="1:15">
      <c r="A188" s="93">
        <v>183</v>
      </c>
      <c r="B188" s="94" t="s">
        <v>72</v>
      </c>
      <c r="C188" s="95" t="s">
        <v>276</v>
      </c>
      <c r="D188" s="95" t="s">
        <v>277</v>
      </c>
      <c r="E188" s="95" t="s">
        <v>277</v>
      </c>
      <c r="F188" s="101" t="s">
        <v>452</v>
      </c>
      <c r="G188" s="95" t="s">
        <v>453</v>
      </c>
      <c r="H188" s="93" t="s">
        <v>84</v>
      </c>
      <c r="I188" s="96">
        <f>IF(H188="ILF",IF($C$1="预估功能点",'模板使用说明&amp;基础参数'!$E$15,7),IF(H188="EIF",IF($C$1="预估功能点",'模板使用说明&amp;基础参数'!$E$16,5),IF(H188="EI",IF($C$1="预估功能点",'模板使用说明&amp;基础参数'!$E$17,'模板使用说明&amp;基础参数'!$E$24),IF(H188="EO",IF($C$1="预估功能点",'模板使用说明&amp;基础参数'!$E$18,'模板使用说明&amp;基础参数'!$E$25),IF(H188="EQ",IF($C$1="预估功能点",'模板使用说明&amp;基础参数'!$E$19,'模板使用说明&amp;基础参数'!$E$26),"")))))</f>
        <v>4</v>
      </c>
      <c r="J188" s="97" t="s">
        <v>38</v>
      </c>
      <c r="K188" s="97" t="s">
        <v>78</v>
      </c>
      <c r="L188" s="98">
        <f>IF(I188="","",IF(J188="高",IF(K188="删除",I188*'模板使用说明&amp;基础参数'!$E$5*'模板使用说明&amp;基础参数'!$E$12,IF(K188="修改",I188*'模板使用说明&amp;基础参数'!$E$5*'模板使用说明&amp;基础参数'!$E$11,I188*'模板使用说明&amp;基础参数'!$E$5*'模板使用说明&amp;基础参数'!$E$10)),IF(J188="中",IF(K188="删除",I188*'模板使用说明&amp;基础参数'!$E$6*'模板使用说明&amp;基础参数'!$E$12,IF(K188="修改",I188*'模板使用说明&amp;基础参数'!$E$6*'模板使用说明&amp;基础参数'!$E$11,I188*'模板使用说明&amp;基础参数'!$E$6*'模板使用说明&amp;基础参数'!$E$10)),IF(K188="删除",I188*'模板使用说明&amp;基础参数'!$E$7*'模板使用说明&amp;基础参数'!$E$12,IF(K188="修改",I188*'模板使用说明&amp;基础参数'!$E$7*'模板使用说明&amp;基础参数'!$E$11,I188*'模板使用说明&amp;基础参数'!$E$7*'模板使用说明&amp;基础参数'!$E$10)))))</f>
        <v>1.06666666666667</v>
      </c>
      <c r="M188" s="95"/>
      <c r="N188" s="99"/>
      <c r="O188" s="100"/>
    </row>
    <row r="189" s="70" customFormat="1" ht="25" customHeight="1" spans="1:15">
      <c r="A189" s="93">
        <v>184</v>
      </c>
      <c r="B189" s="94" t="s">
        <v>72</v>
      </c>
      <c r="C189" s="95" t="s">
        <v>276</v>
      </c>
      <c r="D189" s="95" t="s">
        <v>277</v>
      </c>
      <c r="E189" s="95" t="s">
        <v>277</v>
      </c>
      <c r="F189" s="95" t="s">
        <v>454</v>
      </c>
      <c r="G189" s="95" t="s">
        <v>455</v>
      </c>
      <c r="H189" s="93" t="s">
        <v>84</v>
      </c>
      <c r="I189" s="96">
        <f>IF(H189="ILF",IF($C$1="预估功能点",'模板使用说明&amp;基础参数'!$E$15,7),IF(H189="EIF",IF($C$1="预估功能点",'模板使用说明&amp;基础参数'!$E$16,5),IF(H189="EI",IF($C$1="预估功能点",'模板使用说明&amp;基础参数'!$E$17,'模板使用说明&amp;基础参数'!$E$24),IF(H189="EO",IF($C$1="预估功能点",'模板使用说明&amp;基础参数'!$E$18,'模板使用说明&amp;基础参数'!$E$25),IF(H189="EQ",IF($C$1="预估功能点",'模板使用说明&amp;基础参数'!$E$19,'模板使用说明&amp;基础参数'!$E$26),"")))))</f>
        <v>4</v>
      </c>
      <c r="J189" s="97" t="s">
        <v>38</v>
      </c>
      <c r="K189" s="97" t="s">
        <v>78</v>
      </c>
      <c r="L189" s="98">
        <f>IF(I189="","",IF(J189="高",IF(K189="删除",I189*'模板使用说明&amp;基础参数'!$E$5*'模板使用说明&amp;基础参数'!$E$12,IF(K189="修改",I189*'模板使用说明&amp;基础参数'!$E$5*'模板使用说明&amp;基础参数'!$E$11,I189*'模板使用说明&amp;基础参数'!$E$5*'模板使用说明&amp;基础参数'!$E$10)),IF(J189="中",IF(K189="删除",I189*'模板使用说明&amp;基础参数'!$E$6*'模板使用说明&amp;基础参数'!$E$12,IF(K189="修改",I189*'模板使用说明&amp;基础参数'!$E$6*'模板使用说明&amp;基础参数'!$E$11,I189*'模板使用说明&amp;基础参数'!$E$6*'模板使用说明&amp;基础参数'!$E$10)),IF(K189="删除",I189*'模板使用说明&amp;基础参数'!$E$7*'模板使用说明&amp;基础参数'!$E$12,IF(K189="修改",I189*'模板使用说明&amp;基础参数'!$E$7*'模板使用说明&amp;基础参数'!$E$11,I189*'模板使用说明&amp;基础参数'!$E$7*'模板使用说明&amp;基础参数'!$E$10)))))</f>
        <v>1.06666666666667</v>
      </c>
      <c r="M189" s="95"/>
      <c r="N189" s="99"/>
      <c r="O189" s="100"/>
    </row>
    <row r="190" s="70" customFormat="1" ht="25" customHeight="1" spans="1:15">
      <c r="A190" s="93">
        <v>185</v>
      </c>
      <c r="B190" s="94" t="s">
        <v>72</v>
      </c>
      <c r="C190" s="95" t="s">
        <v>276</v>
      </c>
      <c r="D190" s="95" t="s">
        <v>277</v>
      </c>
      <c r="E190" s="95" t="s">
        <v>277</v>
      </c>
      <c r="F190" s="95" t="s">
        <v>456</v>
      </c>
      <c r="G190" s="95" t="s">
        <v>457</v>
      </c>
      <c r="H190" s="93" t="s">
        <v>84</v>
      </c>
      <c r="I190" s="96">
        <f>IF(H190="ILF",IF($C$1="预估功能点",'模板使用说明&amp;基础参数'!$E$15,7),IF(H190="EIF",IF($C$1="预估功能点",'模板使用说明&amp;基础参数'!$E$16,5),IF(H190="EI",IF($C$1="预估功能点",'模板使用说明&amp;基础参数'!$E$17,'模板使用说明&amp;基础参数'!$E$24),IF(H190="EO",IF($C$1="预估功能点",'模板使用说明&amp;基础参数'!$E$18,'模板使用说明&amp;基础参数'!$E$25),IF(H190="EQ",IF($C$1="预估功能点",'模板使用说明&amp;基础参数'!$E$19,'模板使用说明&amp;基础参数'!$E$26),"")))))</f>
        <v>4</v>
      </c>
      <c r="J190" s="97" t="s">
        <v>38</v>
      </c>
      <c r="K190" s="97" t="s">
        <v>78</v>
      </c>
      <c r="L190" s="98">
        <f>IF(I190="","",IF(J190="高",IF(K190="删除",I190*'模板使用说明&amp;基础参数'!$E$5*'模板使用说明&amp;基础参数'!$E$12,IF(K190="修改",I190*'模板使用说明&amp;基础参数'!$E$5*'模板使用说明&amp;基础参数'!$E$11,I190*'模板使用说明&amp;基础参数'!$E$5*'模板使用说明&amp;基础参数'!$E$10)),IF(J190="中",IF(K190="删除",I190*'模板使用说明&amp;基础参数'!$E$6*'模板使用说明&amp;基础参数'!$E$12,IF(K190="修改",I190*'模板使用说明&amp;基础参数'!$E$6*'模板使用说明&amp;基础参数'!$E$11,I190*'模板使用说明&amp;基础参数'!$E$6*'模板使用说明&amp;基础参数'!$E$10)),IF(K190="删除",I190*'模板使用说明&amp;基础参数'!$E$7*'模板使用说明&amp;基础参数'!$E$12,IF(K190="修改",I190*'模板使用说明&amp;基础参数'!$E$7*'模板使用说明&amp;基础参数'!$E$11,I190*'模板使用说明&amp;基础参数'!$E$7*'模板使用说明&amp;基础参数'!$E$10)))))</f>
        <v>1.06666666666667</v>
      </c>
      <c r="M190" s="95"/>
      <c r="N190" s="99"/>
      <c r="O190" s="100"/>
    </row>
    <row r="191" s="70" customFormat="1" ht="25" customHeight="1" spans="1:15">
      <c r="A191" s="93">
        <v>186</v>
      </c>
      <c r="B191" s="94" t="s">
        <v>72</v>
      </c>
      <c r="C191" s="95" t="s">
        <v>276</v>
      </c>
      <c r="D191" s="95" t="s">
        <v>277</v>
      </c>
      <c r="E191" s="95" t="s">
        <v>277</v>
      </c>
      <c r="F191" s="95" t="s">
        <v>458</v>
      </c>
      <c r="G191" s="95" t="s">
        <v>459</v>
      </c>
      <c r="H191" s="93" t="s">
        <v>77</v>
      </c>
      <c r="I191" s="96">
        <f>IF(H191="ILF",IF($C$1="预估功能点",'模板使用说明&amp;基础参数'!$E$15,7),IF(H191="EIF",IF($C$1="预估功能点",'模板使用说明&amp;基础参数'!$E$16,5),IF(H191="EI",IF($C$1="预估功能点",'模板使用说明&amp;基础参数'!$E$17,'模板使用说明&amp;基础参数'!$E$24),IF(H191="EO",IF($C$1="预估功能点",'模板使用说明&amp;基础参数'!$E$18,'模板使用说明&amp;基础参数'!$E$25),IF(H191="EQ",IF($C$1="预估功能点",'模板使用说明&amp;基础参数'!$E$19,'模板使用说明&amp;基础参数'!$E$26),"")))))</f>
        <v>7</v>
      </c>
      <c r="J191" s="97" t="s">
        <v>38</v>
      </c>
      <c r="K191" s="97" t="s">
        <v>78</v>
      </c>
      <c r="L191" s="98">
        <f>IF(I191="","",IF(J191="高",IF(K191="删除",I191*'模板使用说明&amp;基础参数'!$E$5*'模板使用说明&amp;基础参数'!$E$12,IF(K191="修改",I191*'模板使用说明&amp;基础参数'!$E$5*'模板使用说明&amp;基础参数'!$E$11,I191*'模板使用说明&amp;基础参数'!$E$5*'模板使用说明&amp;基础参数'!$E$10)),IF(J191="中",IF(K191="删除",I191*'模板使用说明&amp;基础参数'!$E$6*'模板使用说明&amp;基础参数'!$E$12,IF(K191="修改",I191*'模板使用说明&amp;基础参数'!$E$6*'模板使用说明&amp;基础参数'!$E$11,I191*'模板使用说明&amp;基础参数'!$E$6*'模板使用说明&amp;基础参数'!$E$10)),IF(K191="删除",I191*'模板使用说明&amp;基础参数'!$E$7*'模板使用说明&amp;基础参数'!$E$12,IF(K191="修改",I191*'模板使用说明&amp;基础参数'!$E$7*'模板使用说明&amp;基础参数'!$E$11,I191*'模板使用说明&amp;基础参数'!$E$7*'模板使用说明&amp;基础参数'!$E$10)))))</f>
        <v>1.86666666666666</v>
      </c>
      <c r="M191" s="95"/>
      <c r="N191" s="99"/>
      <c r="O191" s="100"/>
    </row>
    <row r="192" s="70" customFormat="1" ht="25" customHeight="1" spans="1:15">
      <c r="A192" s="93">
        <v>187</v>
      </c>
      <c r="B192" s="94" t="s">
        <v>72</v>
      </c>
      <c r="C192" s="95" t="s">
        <v>276</v>
      </c>
      <c r="D192" s="95" t="s">
        <v>277</v>
      </c>
      <c r="E192" s="95" t="s">
        <v>277</v>
      </c>
      <c r="F192" s="95" t="s">
        <v>460</v>
      </c>
      <c r="G192" s="95" t="s">
        <v>461</v>
      </c>
      <c r="H192" s="93" t="s">
        <v>81</v>
      </c>
      <c r="I192" s="96">
        <f>IF(H192="ILF",IF($C$1="预估功能点",'模板使用说明&amp;基础参数'!$E$15,7),IF(H192="EIF",IF($C$1="预估功能点",'模板使用说明&amp;基础参数'!$E$16,5),IF(H192="EI",IF($C$1="预估功能点",'模板使用说明&amp;基础参数'!$E$17,'模板使用说明&amp;基础参数'!$E$24),IF(H192="EO",IF($C$1="预估功能点",'模板使用说明&amp;基础参数'!$E$18,'模板使用说明&amp;基础参数'!$E$25),IF(H192="EQ",IF($C$1="预估功能点",'模板使用说明&amp;基础参数'!$E$19,'模板使用说明&amp;基础参数'!$E$26),"")))))</f>
        <v>4</v>
      </c>
      <c r="J192" s="97" t="s">
        <v>38</v>
      </c>
      <c r="K192" s="97" t="s">
        <v>78</v>
      </c>
      <c r="L192" s="98">
        <f>IF(I192="","",IF(J192="高",IF(K192="删除",I192*'模板使用说明&amp;基础参数'!$E$5*'模板使用说明&amp;基础参数'!$E$12,IF(K192="修改",I192*'模板使用说明&amp;基础参数'!$E$5*'模板使用说明&amp;基础参数'!$E$11,I192*'模板使用说明&amp;基础参数'!$E$5*'模板使用说明&amp;基础参数'!$E$10)),IF(J192="中",IF(K192="删除",I192*'模板使用说明&amp;基础参数'!$E$6*'模板使用说明&amp;基础参数'!$E$12,IF(K192="修改",I192*'模板使用说明&amp;基础参数'!$E$6*'模板使用说明&amp;基础参数'!$E$11,I192*'模板使用说明&amp;基础参数'!$E$6*'模板使用说明&amp;基础参数'!$E$10)),IF(K192="删除",I192*'模板使用说明&amp;基础参数'!$E$7*'模板使用说明&amp;基础参数'!$E$12,IF(K192="修改",I192*'模板使用说明&amp;基础参数'!$E$7*'模板使用说明&amp;基础参数'!$E$11,I192*'模板使用说明&amp;基础参数'!$E$7*'模板使用说明&amp;基础参数'!$E$10)))))</f>
        <v>1.06666666666667</v>
      </c>
      <c r="M192" s="95"/>
      <c r="N192" s="99"/>
      <c r="O192" s="100"/>
    </row>
    <row r="193" s="70" customFormat="1" ht="25" customHeight="1" spans="1:15">
      <c r="A193" s="93">
        <v>188</v>
      </c>
      <c r="B193" s="94" t="s">
        <v>72</v>
      </c>
      <c r="C193" s="95" t="s">
        <v>276</v>
      </c>
      <c r="D193" s="95" t="s">
        <v>277</v>
      </c>
      <c r="E193" s="95" t="s">
        <v>277</v>
      </c>
      <c r="F193" s="101" t="s">
        <v>462</v>
      </c>
      <c r="G193" s="95" t="s">
        <v>463</v>
      </c>
      <c r="H193" s="93" t="s">
        <v>84</v>
      </c>
      <c r="I193" s="96">
        <f>IF(H193="ILF",IF($C$1="预估功能点",'模板使用说明&amp;基础参数'!$E$15,7),IF(H193="EIF",IF($C$1="预估功能点",'模板使用说明&amp;基础参数'!$E$16,5),IF(H193="EI",IF($C$1="预估功能点",'模板使用说明&amp;基础参数'!$E$17,'模板使用说明&amp;基础参数'!$E$24),IF(H193="EO",IF($C$1="预估功能点",'模板使用说明&amp;基础参数'!$E$18,'模板使用说明&amp;基础参数'!$E$25),IF(H193="EQ",IF($C$1="预估功能点",'模板使用说明&amp;基础参数'!$E$19,'模板使用说明&amp;基础参数'!$E$26),"")))))</f>
        <v>4</v>
      </c>
      <c r="J193" s="97" t="s">
        <v>38</v>
      </c>
      <c r="K193" s="97" t="s">
        <v>78</v>
      </c>
      <c r="L193" s="98">
        <f>IF(I193="","",IF(J193="高",IF(K193="删除",I193*'模板使用说明&amp;基础参数'!$E$5*'模板使用说明&amp;基础参数'!$E$12,IF(K193="修改",I193*'模板使用说明&amp;基础参数'!$E$5*'模板使用说明&amp;基础参数'!$E$11,I193*'模板使用说明&amp;基础参数'!$E$5*'模板使用说明&amp;基础参数'!$E$10)),IF(J193="中",IF(K193="删除",I193*'模板使用说明&amp;基础参数'!$E$6*'模板使用说明&amp;基础参数'!$E$12,IF(K193="修改",I193*'模板使用说明&amp;基础参数'!$E$6*'模板使用说明&amp;基础参数'!$E$11,I193*'模板使用说明&amp;基础参数'!$E$6*'模板使用说明&amp;基础参数'!$E$10)),IF(K193="删除",I193*'模板使用说明&amp;基础参数'!$E$7*'模板使用说明&amp;基础参数'!$E$12,IF(K193="修改",I193*'模板使用说明&amp;基础参数'!$E$7*'模板使用说明&amp;基础参数'!$E$11,I193*'模板使用说明&amp;基础参数'!$E$7*'模板使用说明&amp;基础参数'!$E$10)))))</f>
        <v>1.06666666666667</v>
      </c>
      <c r="M193" s="95"/>
      <c r="N193" s="99"/>
      <c r="O193" s="100"/>
    </row>
    <row r="194" s="70" customFormat="1" ht="25" customHeight="1" spans="1:15">
      <c r="A194" s="93">
        <v>189</v>
      </c>
      <c r="B194" s="94" t="s">
        <v>72</v>
      </c>
      <c r="C194" s="95" t="s">
        <v>276</v>
      </c>
      <c r="D194" s="95" t="s">
        <v>277</v>
      </c>
      <c r="E194" s="95" t="s">
        <v>277</v>
      </c>
      <c r="F194" s="95" t="s">
        <v>464</v>
      </c>
      <c r="G194" s="95" t="s">
        <v>465</v>
      </c>
      <c r="H194" s="93" t="s">
        <v>84</v>
      </c>
      <c r="I194" s="96">
        <f>IF(H194="ILF",IF($C$1="预估功能点",'模板使用说明&amp;基础参数'!$E$15,7),IF(H194="EIF",IF($C$1="预估功能点",'模板使用说明&amp;基础参数'!$E$16,5),IF(H194="EI",IF($C$1="预估功能点",'模板使用说明&amp;基础参数'!$E$17,'模板使用说明&amp;基础参数'!$E$24),IF(H194="EO",IF($C$1="预估功能点",'模板使用说明&amp;基础参数'!$E$18,'模板使用说明&amp;基础参数'!$E$25),IF(H194="EQ",IF($C$1="预估功能点",'模板使用说明&amp;基础参数'!$E$19,'模板使用说明&amp;基础参数'!$E$26),"")))))</f>
        <v>4</v>
      </c>
      <c r="J194" s="97" t="s">
        <v>38</v>
      </c>
      <c r="K194" s="97" t="s">
        <v>78</v>
      </c>
      <c r="L194" s="98">
        <f>IF(I194="","",IF(J194="高",IF(K194="删除",I194*'模板使用说明&amp;基础参数'!$E$5*'模板使用说明&amp;基础参数'!$E$12,IF(K194="修改",I194*'模板使用说明&amp;基础参数'!$E$5*'模板使用说明&amp;基础参数'!$E$11,I194*'模板使用说明&amp;基础参数'!$E$5*'模板使用说明&amp;基础参数'!$E$10)),IF(J194="中",IF(K194="删除",I194*'模板使用说明&amp;基础参数'!$E$6*'模板使用说明&amp;基础参数'!$E$12,IF(K194="修改",I194*'模板使用说明&amp;基础参数'!$E$6*'模板使用说明&amp;基础参数'!$E$11,I194*'模板使用说明&amp;基础参数'!$E$6*'模板使用说明&amp;基础参数'!$E$10)),IF(K194="删除",I194*'模板使用说明&amp;基础参数'!$E$7*'模板使用说明&amp;基础参数'!$E$12,IF(K194="修改",I194*'模板使用说明&amp;基础参数'!$E$7*'模板使用说明&amp;基础参数'!$E$11,I194*'模板使用说明&amp;基础参数'!$E$7*'模板使用说明&amp;基础参数'!$E$10)))))</f>
        <v>1.06666666666667</v>
      </c>
      <c r="M194" s="95"/>
      <c r="N194" s="99"/>
      <c r="O194" s="100"/>
    </row>
    <row r="195" s="70" customFormat="1" ht="25" customHeight="1" spans="1:15">
      <c r="A195" s="93">
        <v>190</v>
      </c>
      <c r="B195" s="94" t="s">
        <v>72</v>
      </c>
      <c r="C195" s="95" t="s">
        <v>276</v>
      </c>
      <c r="D195" s="95" t="s">
        <v>277</v>
      </c>
      <c r="E195" s="95" t="s">
        <v>277</v>
      </c>
      <c r="F195" s="95" t="s">
        <v>466</v>
      </c>
      <c r="G195" s="95" t="s">
        <v>467</v>
      </c>
      <c r="H195" s="93" t="s">
        <v>84</v>
      </c>
      <c r="I195" s="96">
        <f>IF(H195="ILF",IF($C$1="预估功能点",'模板使用说明&amp;基础参数'!$E$15,7),IF(H195="EIF",IF($C$1="预估功能点",'模板使用说明&amp;基础参数'!$E$16,5),IF(H195="EI",IF($C$1="预估功能点",'模板使用说明&amp;基础参数'!$E$17,'模板使用说明&amp;基础参数'!$E$24),IF(H195="EO",IF($C$1="预估功能点",'模板使用说明&amp;基础参数'!$E$18,'模板使用说明&amp;基础参数'!$E$25),IF(H195="EQ",IF($C$1="预估功能点",'模板使用说明&amp;基础参数'!$E$19,'模板使用说明&amp;基础参数'!$E$26),"")))))</f>
        <v>4</v>
      </c>
      <c r="J195" s="97" t="s">
        <v>38</v>
      </c>
      <c r="K195" s="97" t="s">
        <v>78</v>
      </c>
      <c r="L195" s="98">
        <f>IF(I195="","",IF(J195="高",IF(K195="删除",I195*'模板使用说明&amp;基础参数'!$E$5*'模板使用说明&amp;基础参数'!$E$12,IF(K195="修改",I195*'模板使用说明&amp;基础参数'!$E$5*'模板使用说明&amp;基础参数'!$E$11,I195*'模板使用说明&amp;基础参数'!$E$5*'模板使用说明&amp;基础参数'!$E$10)),IF(J195="中",IF(K195="删除",I195*'模板使用说明&amp;基础参数'!$E$6*'模板使用说明&amp;基础参数'!$E$12,IF(K195="修改",I195*'模板使用说明&amp;基础参数'!$E$6*'模板使用说明&amp;基础参数'!$E$11,I195*'模板使用说明&amp;基础参数'!$E$6*'模板使用说明&amp;基础参数'!$E$10)),IF(K195="删除",I195*'模板使用说明&amp;基础参数'!$E$7*'模板使用说明&amp;基础参数'!$E$12,IF(K195="修改",I195*'模板使用说明&amp;基础参数'!$E$7*'模板使用说明&amp;基础参数'!$E$11,I195*'模板使用说明&amp;基础参数'!$E$7*'模板使用说明&amp;基础参数'!$E$10)))))</f>
        <v>1.06666666666667</v>
      </c>
      <c r="M195" s="95"/>
      <c r="N195" s="99"/>
      <c r="O195" s="100"/>
    </row>
    <row r="196" s="70" customFormat="1" ht="25" customHeight="1" spans="1:15">
      <c r="A196" s="93">
        <v>191</v>
      </c>
      <c r="B196" s="94" t="s">
        <v>72</v>
      </c>
      <c r="C196" s="95" t="s">
        <v>276</v>
      </c>
      <c r="D196" s="95" t="s">
        <v>277</v>
      </c>
      <c r="E196" s="95" t="s">
        <v>277</v>
      </c>
      <c r="F196" s="95" t="s">
        <v>468</v>
      </c>
      <c r="G196" s="95" t="s">
        <v>469</v>
      </c>
      <c r="H196" s="93" t="s">
        <v>77</v>
      </c>
      <c r="I196" s="96">
        <f>IF(H196="ILF",IF($C$1="预估功能点",'模板使用说明&amp;基础参数'!$E$15,7),IF(H196="EIF",IF($C$1="预估功能点",'模板使用说明&amp;基础参数'!$E$16,5),IF(H196="EI",IF($C$1="预估功能点",'模板使用说明&amp;基础参数'!$E$17,'模板使用说明&amp;基础参数'!$E$24),IF(H196="EO",IF($C$1="预估功能点",'模板使用说明&amp;基础参数'!$E$18,'模板使用说明&amp;基础参数'!$E$25),IF(H196="EQ",IF($C$1="预估功能点",'模板使用说明&amp;基础参数'!$E$19,'模板使用说明&amp;基础参数'!$E$26),"")))))</f>
        <v>7</v>
      </c>
      <c r="J196" s="97" t="s">
        <v>38</v>
      </c>
      <c r="K196" s="97" t="s">
        <v>78</v>
      </c>
      <c r="L196" s="98">
        <f>IF(I196="","",IF(J196="高",IF(K196="删除",I196*'模板使用说明&amp;基础参数'!$E$5*'模板使用说明&amp;基础参数'!$E$12,IF(K196="修改",I196*'模板使用说明&amp;基础参数'!$E$5*'模板使用说明&amp;基础参数'!$E$11,I196*'模板使用说明&amp;基础参数'!$E$5*'模板使用说明&amp;基础参数'!$E$10)),IF(J196="中",IF(K196="删除",I196*'模板使用说明&amp;基础参数'!$E$6*'模板使用说明&amp;基础参数'!$E$12,IF(K196="修改",I196*'模板使用说明&amp;基础参数'!$E$6*'模板使用说明&amp;基础参数'!$E$11,I196*'模板使用说明&amp;基础参数'!$E$6*'模板使用说明&amp;基础参数'!$E$10)),IF(K196="删除",I196*'模板使用说明&amp;基础参数'!$E$7*'模板使用说明&amp;基础参数'!$E$12,IF(K196="修改",I196*'模板使用说明&amp;基础参数'!$E$7*'模板使用说明&amp;基础参数'!$E$11,I196*'模板使用说明&amp;基础参数'!$E$7*'模板使用说明&amp;基础参数'!$E$10)))))</f>
        <v>1.86666666666666</v>
      </c>
      <c r="M196" s="95"/>
      <c r="N196" s="99"/>
      <c r="O196" s="100"/>
    </row>
    <row r="197" s="70" customFormat="1" ht="25" customHeight="1" spans="1:15">
      <c r="A197" s="93">
        <v>192</v>
      </c>
      <c r="B197" s="94" t="s">
        <v>72</v>
      </c>
      <c r="C197" s="95" t="s">
        <v>276</v>
      </c>
      <c r="D197" s="95" t="s">
        <v>277</v>
      </c>
      <c r="E197" s="95" t="s">
        <v>277</v>
      </c>
      <c r="F197" s="95" t="s">
        <v>470</v>
      </c>
      <c r="G197" s="95" t="s">
        <v>471</v>
      </c>
      <c r="H197" s="93" t="s">
        <v>81</v>
      </c>
      <c r="I197" s="96">
        <f>IF(H197="ILF",IF($C$1="预估功能点",'模板使用说明&amp;基础参数'!$E$15,7),IF(H197="EIF",IF($C$1="预估功能点",'模板使用说明&amp;基础参数'!$E$16,5),IF(H197="EI",IF($C$1="预估功能点",'模板使用说明&amp;基础参数'!$E$17,'模板使用说明&amp;基础参数'!$E$24),IF(H197="EO",IF($C$1="预估功能点",'模板使用说明&amp;基础参数'!$E$18,'模板使用说明&amp;基础参数'!$E$25),IF(H197="EQ",IF($C$1="预估功能点",'模板使用说明&amp;基础参数'!$E$19,'模板使用说明&amp;基础参数'!$E$26),"")))))</f>
        <v>4</v>
      </c>
      <c r="J197" s="97" t="s">
        <v>38</v>
      </c>
      <c r="K197" s="97" t="s">
        <v>78</v>
      </c>
      <c r="L197" s="98">
        <f>IF(I197="","",IF(J197="高",IF(K197="删除",I197*'模板使用说明&amp;基础参数'!$E$5*'模板使用说明&amp;基础参数'!$E$12,IF(K197="修改",I197*'模板使用说明&amp;基础参数'!$E$5*'模板使用说明&amp;基础参数'!$E$11,I197*'模板使用说明&amp;基础参数'!$E$5*'模板使用说明&amp;基础参数'!$E$10)),IF(J197="中",IF(K197="删除",I197*'模板使用说明&amp;基础参数'!$E$6*'模板使用说明&amp;基础参数'!$E$12,IF(K197="修改",I197*'模板使用说明&amp;基础参数'!$E$6*'模板使用说明&amp;基础参数'!$E$11,I197*'模板使用说明&amp;基础参数'!$E$6*'模板使用说明&amp;基础参数'!$E$10)),IF(K197="删除",I197*'模板使用说明&amp;基础参数'!$E$7*'模板使用说明&amp;基础参数'!$E$12,IF(K197="修改",I197*'模板使用说明&amp;基础参数'!$E$7*'模板使用说明&amp;基础参数'!$E$11,I197*'模板使用说明&amp;基础参数'!$E$7*'模板使用说明&amp;基础参数'!$E$10)))))</f>
        <v>1.06666666666667</v>
      </c>
      <c r="M197" s="95"/>
      <c r="N197" s="99"/>
      <c r="O197" s="100"/>
    </row>
    <row r="198" s="70" customFormat="1" ht="25" customHeight="1" spans="1:15">
      <c r="A198" s="93">
        <v>193</v>
      </c>
      <c r="B198" s="94" t="s">
        <v>72</v>
      </c>
      <c r="C198" s="95" t="s">
        <v>276</v>
      </c>
      <c r="D198" s="95" t="s">
        <v>277</v>
      </c>
      <c r="E198" s="95" t="s">
        <v>277</v>
      </c>
      <c r="F198" s="95" t="s">
        <v>472</v>
      </c>
      <c r="G198" s="95" t="s">
        <v>473</v>
      </c>
      <c r="H198" s="93" t="s">
        <v>84</v>
      </c>
      <c r="I198" s="96">
        <f>IF(H198="ILF",IF($C$1="预估功能点",'模板使用说明&amp;基础参数'!$E$15,7),IF(H198="EIF",IF($C$1="预估功能点",'模板使用说明&amp;基础参数'!$E$16,5),IF(H198="EI",IF($C$1="预估功能点",'模板使用说明&amp;基础参数'!$E$17,'模板使用说明&amp;基础参数'!$E$24),IF(H198="EO",IF($C$1="预估功能点",'模板使用说明&amp;基础参数'!$E$18,'模板使用说明&amp;基础参数'!$E$25),IF(H198="EQ",IF($C$1="预估功能点",'模板使用说明&amp;基础参数'!$E$19,'模板使用说明&amp;基础参数'!$E$26),"")))))</f>
        <v>4</v>
      </c>
      <c r="J198" s="97" t="s">
        <v>38</v>
      </c>
      <c r="K198" s="97" t="s">
        <v>78</v>
      </c>
      <c r="L198" s="98">
        <f>IF(I198="","",IF(J198="高",IF(K198="删除",I198*'模板使用说明&amp;基础参数'!$E$5*'模板使用说明&amp;基础参数'!$E$12,IF(K198="修改",I198*'模板使用说明&amp;基础参数'!$E$5*'模板使用说明&amp;基础参数'!$E$11,I198*'模板使用说明&amp;基础参数'!$E$5*'模板使用说明&amp;基础参数'!$E$10)),IF(J198="中",IF(K198="删除",I198*'模板使用说明&amp;基础参数'!$E$6*'模板使用说明&amp;基础参数'!$E$12,IF(K198="修改",I198*'模板使用说明&amp;基础参数'!$E$6*'模板使用说明&amp;基础参数'!$E$11,I198*'模板使用说明&amp;基础参数'!$E$6*'模板使用说明&amp;基础参数'!$E$10)),IF(K198="删除",I198*'模板使用说明&amp;基础参数'!$E$7*'模板使用说明&amp;基础参数'!$E$12,IF(K198="修改",I198*'模板使用说明&amp;基础参数'!$E$7*'模板使用说明&amp;基础参数'!$E$11,I198*'模板使用说明&amp;基础参数'!$E$7*'模板使用说明&amp;基础参数'!$E$10)))))</f>
        <v>1.06666666666667</v>
      </c>
      <c r="M198" s="95"/>
      <c r="N198" s="99"/>
      <c r="O198" s="100"/>
    </row>
    <row r="199" s="70" customFormat="1" ht="25" customHeight="1" spans="1:15">
      <c r="A199" s="93">
        <v>194</v>
      </c>
      <c r="B199" s="94" t="s">
        <v>72</v>
      </c>
      <c r="C199" s="95" t="s">
        <v>276</v>
      </c>
      <c r="D199" s="95" t="s">
        <v>277</v>
      </c>
      <c r="E199" s="95" t="s">
        <v>277</v>
      </c>
      <c r="F199" s="95" t="s">
        <v>474</v>
      </c>
      <c r="G199" s="95" t="s">
        <v>475</v>
      </c>
      <c r="H199" s="93" t="s">
        <v>84</v>
      </c>
      <c r="I199" s="96">
        <f>IF(H199="ILF",IF($C$1="预估功能点",'模板使用说明&amp;基础参数'!$E$15,7),IF(H199="EIF",IF($C$1="预估功能点",'模板使用说明&amp;基础参数'!$E$16,5),IF(H199="EI",IF($C$1="预估功能点",'模板使用说明&amp;基础参数'!$E$17,'模板使用说明&amp;基础参数'!$E$24),IF(H199="EO",IF($C$1="预估功能点",'模板使用说明&amp;基础参数'!$E$18,'模板使用说明&amp;基础参数'!$E$25),IF(H199="EQ",IF($C$1="预估功能点",'模板使用说明&amp;基础参数'!$E$19,'模板使用说明&amp;基础参数'!$E$26),"")))))</f>
        <v>4</v>
      </c>
      <c r="J199" s="97" t="s">
        <v>38</v>
      </c>
      <c r="K199" s="97" t="s">
        <v>78</v>
      </c>
      <c r="L199" s="98">
        <f>IF(I199="","",IF(J199="高",IF(K199="删除",I199*'模板使用说明&amp;基础参数'!$E$5*'模板使用说明&amp;基础参数'!$E$12,IF(K199="修改",I199*'模板使用说明&amp;基础参数'!$E$5*'模板使用说明&amp;基础参数'!$E$11,I199*'模板使用说明&amp;基础参数'!$E$5*'模板使用说明&amp;基础参数'!$E$10)),IF(J199="中",IF(K199="删除",I199*'模板使用说明&amp;基础参数'!$E$6*'模板使用说明&amp;基础参数'!$E$12,IF(K199="修改",I199*'模板使用说明&amp;基础参数'!$E$6*'模板使用说明&amp;基础参数'!$E$11,I199*'模板使用说明&amp;基础参数'!$E$6*'模板使用说明&amp;基础参数'!$E$10)),IF(K199="删除",I199*'模板使用说明&amp;基础参数'!$E$7*'模板使用说明&amp;基础参数'!$E$12,IF(K199="修改",I199*'模板使用说明&amp;基础参数'!$E$7*'模板使用说明&amp;基础参数'!$E$11,I199*'模板使用说明&amp;基础参数'!$E$7*'模板使用说明&amp;基础参数'!$E$10)))))</f>
        <v>1.06666666666667</v>
      </c>
      <c r="M199" s="95"/>
      <c r="N199" s="99"/>
      <c r="O199" s="100"/>
    </row>
    <row r="200" s="70" customFormat="1" ht="25" customHeight="1" spans="1:15">
      <c r="A200" s="93">
        <v>195</v>
      </c>
      <c r="B200" s="94" t="s">
        <v>72</v>
      </c>
      <c r="C200" s="95" t="s">
        <v>276</v>
      </c>
      <c r="D200" s="95" t="s">
        <v>277</v>
      </c>
      <c r="E200" s="95" t="s">
        <v>277</v>
      </c>
      <c r="F200" s="95" t="s">
        <v>476</v>
      </c>
      <c r="G200" s="95" t="s">
        <v>477</v>
      </c>
      <c r="H200" s="93" t="s">
        <v>84</v>
      </c>
      <c r="I200" s="96">
        <f>IF(H200="ILF",IF($C$1="预估功能点",'模板使用说明&amp;基础参数'!$E$15,7),IF(H200="EIF",IF($C$1="预估功能点",'模板使用说明&amp;基础参数'!$E$16,5),IF(H200="EI",IF($C$1="预估功能点",'模板使用说明&amp;基础参数'!$E$17,'模板使用说明&amp;基础参数'!$E$24),IF(H200="EO",IF($C$1="预估功能点",'模板使用说明&amp;基础参数'!$E$18,'模板使用说明&amp;基础参数'!$E$25),IF(H200="EQ",IF($C$1="预估功能点",'模板使用说明&amp;基础参数'!$E$19,'模板使用说明&amp;基础参数'!$E$26),"")))))</f>
        <v>4</v>
      </c>
      <c r="J200" s="97" t="s">
        <v>38</v>
      </c>
      <c r="K200" s="97" t="s">
        <v>78</v>
      </c>
      <c r="L200" s="98">
        <f>IF(I200="","",IF(J200="高",IF(K200="删除",I200*'模板使用说明&amp;基础参数'!$E$5*'模板使用说明&amp;基础参数'!$E$12,IF(K200="修改",I200*'模板使用说明&amp;基础参数'!$E$5*'模板使用说明&amp;基础参数'!$E$11,I200*'模板使用说明&amp;基础参数'!$E$5*'模板使用说明&amp;基础参数'!$E$10)),IF(J200="中",IF(K200="删除",I200*'模板使用说明&amp;基础参数'!$E$6*'模板使用说明&amp;基础参数'!$E$12,IF(K200="修改",I200*'模板使用说明&amp;基础参数'!$E$6*'模板使用说明&amp;基础参数'!$E$11,I200*'模板使用说明&amp;基础参数'!$E$6*'模板使用说明&amp;基础参数'!$E$10)),IF(K200="删除",I200*'模板使用说明&amp;基础参数'!$E$7*'模板使用说明&amp;基础参数'!$E$12,IF(K200="修改",I200*'模板使用说明&amp;基础参数'!$E$7*'模板使用说明&amp;基础参数'!$E$11,I200*'模板使用说明&amp;基础参数'!$E$7*'模板使用说明&amp;基础参数'!$E$10)))))</f>
        <v>1.06666666666667</v>
      </c>
      <c r="M200" s="95"/>
      <c r="N200" s="99"/>
      <c r="O200" s="100"/>
    </row>
    <row r="201" s="70" customFormat="1" ht="25" customHeight="1" spans="1:15">
      <c r="A201" s="93">
        <v>196</v>
      </c>
      <c r="B201" s="94" t="s">
        <v>72</v>
      </c>
      <c r="C201" s="95" t="s">
        <v>129</v>
      </c>
      <c r="D201" s="95" t="s">
        <v>130</v>
      </c>
      <c r="E201" s="95" t="s">
        <v>130</v>
      </c>
      <c r="F201" s="95" t="s">
        <v>478</v>
      </c>
      <c r="G201" s="95" t="s">
        <v>479</v>
      </c>
      <c r="H201" s="93" t="s">
        <v>77</v>
      </c>
      <c r="I201" s="96">
        <f>IF(H201="ILF",IF($C$1="预估功能点",'模板使用说明&amp;基础参数'!$E$15,7),IF(H201="EIF",IF($C$1="预估功能点",'模板使用说明&amp;基础参数'!$E$16,5),IF(H201="EI",IF($C$1="预估功能点",'模板使用说明&amp;基础参数'!$E$17,'模板使用说明&amp;基础参数'!$E$24),IF(H201="EO",IF($C$1="预估功能点",'模板使用说明&amp;基础参数'!$E$18,'模板使用说明&amp;基础参数'!$E$25),IF(H201="EQ",IF($C$1="预估功能点",'模板使用说明&amp;基础参数'!$E$19,'模板使用说明&amp;基础参数'!$E$26),"")))))</f>
        <v>7</v>
      </c>
      <c r="J201" s="97" t="s">
        <v>38</v>
      </c>
      <c r="K201" s="97" t="s">
        <v>78</v>
      </c>
      <c r="L201" s="98">
        <f>IF(I201="","",IF(J201="高",IF(K201="删除",I201*'模板使用说明&amp;基础参数'!$E$5*'模板使用说明&amp;基础参数'!$E$12,IF(K201="修改",I201*'模板使用说明&amp;基础参数'!$E$5*'模板使用说明&amp;基础参数'!$E$11,I201*'模板使用说明&amp;基础参数'!$E$5*'模板使用说明&amp;基础参数'!$E$10)),IF(J201="中",IF(K201="删除",I201*'模板使用说明&amp;基础参数'!$E$6*'模板使用说明&amp;基础参数'!$E$12,IF(K201="修改",I201*'模板使用说明&amp;基础参数'!$E$6*'模板使用说明&amp;基础参数'!$E$11,I201*'模板使用说明&amp;基础参数'!$E$6*'模板使用说明&amp;基础参数'!$E$10)),IF(K201="删除",I201*'模板使用说明&amp;基础参数'!$E$7*'模板使用说明&amp;基础参数'!$E$12,IF(K201="修改",I201*'模板使用说明&amp;基础参数'!$E$7*'模板使用说明&amp;基础参数'!$E$11,I201*'模板使用说明&amp;基础参数'!$E$7*'模板使用说明&amp;基础参数'!$E$10)))))</f>
        <v>1.86666666666666</v>
      </c>
      <c r="M201" s="95"/>
      <c r="N201" s="99"/>
      <c r="O201" s="100"/>
    </row>
    <row r="202" s="70" customFormat="1" ht="25" customHeight="1" spans="1:15">
      <c r="A202" s="93">
        <v>197</v>
      </c>
      <c r="B202" s="94" t="s">
        <v>72</v>
      </c>
      <c r="C202" s="95" t="s">
        <v>129</v>
      </c>
      <c r="D202" s="95" t="s">
        <v>130</v>
      </c>
      <c r="E202" s="95" t="s">
        <v>130</v>
      </c>
      <c r="F202" s="95" t="s">
        <v>480</v>
      </c>
      <c r="G202" s="95" t="s">
        <v>481</v>
      </c>
      <c r="H202" s="93" t="s">
        <v>135</v>
      </c>
      <c r="I202" s="96">
        <f>IF(H202="ILF",IF($C$1="预估功能点",'模板使用说明&amp;基础参数'!$E$15,7),IF(H202="EIF",IF($C$1="预估功能点",'模板使用说明&amp;基础参数'!$E$16,5),IF(H202="EI",IF($C$1="预估功能点",'模板使用说明&amp;基础参数'!$E$17,'模板使用说明&amp;基础参数'!$E$24),IF(H202="EO",IF($C$1="预估功能点",'模板使用说明&amp;基础参数'!$E$18,'模板使用说明&amp;基础参数'!$E$25),IF(H202="EQ",IF($C$1="预估功能点",'模板使用说明&amp;基础参数'!$E$19,'模板使用说明&amp;基础参数'!$E$26),"")))))</f>
        <v>5</v>
      </c>
      <c r="J202" s="97" t="s">
        <v>38</v>
      </c>
      <c r="K202" s="97" t="s">
        <v>78</v>
      </c>
      <c r="L202" s="98">
        <f>IF(I202="","",IF(J202="高",IF(K202="删除",I202*'模板使用说明&amp;基础参数'!$E$5*'模板使用说明&amp;基础参数'!$E$12,IF(K202="修改",I202*'模板使用说明&amp;基础参数'!$E$5*'模板使用说明&amp;基础参数'!$E$11,I202*'模板使用说明&amp;基础参数'!$E$5*'模板使用说明&amp;基础参数'!$E$10)),IF(J202="中",IF(K202="删除",I202*'模板使用说明&amp;基础参数'!$E$6*'模板使用说明&amp;基础参数'!$E$12,IF(K202="修改",I202*'模板使用说明&amp;基础参数'!$E$6*'模板使用说明&amp;基础参数'!$E$11,I202*'模板使用说明&amp;基础参数'!$E$6*'模板使用说明&amp;基础参数'!$E$10)),IF(K202="删除",I202*'模板使用说明&amp;基础参数'!$E$7*'模板使用说明&amp;基础参数'!$E$12,IF(K202="修改",I202*'模板使用说明&amp;基础参数'!$E$7*'模板使用说明&amp;基础参数'!$E$11,I202*'模板使用说明&amp;基础参数'!$E$7*'模板使用说明&amp;基础参数'!$E$10)))))</f>
        <v>1.33333333333333</v>
      </c>
      <c r="M202" s="95"/>
      <c r="N202" s="99"/>
      <c r="O202" s="100"/>
    </row>
    <row r="203" s="70" customFormat="1" ht="25" customHeight="1" spans="1:15">
      <c r="A203" s="93">
        <v>198</v>
      </c>
      <c r="B203" s="94" t="s">
        <v>72</v>
      </c>
      <c r="C203" s="95" t="s">
        <v>129</v>
      </c>
      <c r="D203" s="95" t="s">
        <v>130</v>
      </c>
      <c r="E203" s="95" t="s">
        <v>130</v>
      </c>
      <c r="F203" s="95" t="s">
        <v>482</v>
      </c>
      <c r="G203" s="95" t="s">
        <v>483</v>
      </c>
      <c r="H203" s="93" t="s">
        <v>81</v>
      </c>
      <c r="I203" s="96">
        <f>IF(H203="ILF",IF($C$1="预估功能点",'模板使用说明&amp;基础参数'!$E$15,7),IF(H203="EIF",IF($C$1="预估功能点",'模板使用说明&amp;基础参数'!$E$16,5),IF(H203="EI",IF($C$1="预估功能点",'模板使用说明&amp;基础参数'!$E$17,'模板使用说明&amp;基础参数'!$E$24),IF(H203="EO",IF($C$1="预估功能点",'模板使用说明&amp;基础参数'!$E$18,'模板使用说明&amp;基础参数'!$E$25),IF(H203="EQ",IF($C$1="预估功能点",'模板使用说明&amp;基础参数'!$E$19,'模板使用说明&amp;基础参数'!$E$26),"")))))</f>
        <v>4</v>
      </c>
      <c r="J203" s="97" t="s">
        <v>38</v>
      </c>
      <c r="K203" s="97" t="s">
        <v>78</v>
      </c>
      <c r="L203" s="98">
        <f>IF(I203="","",IF(J203="高",IF(K203="删除",I203*'模板使用说明&amp;基础参数'!$E$5*'模板使用说明&amp;基础参数'!$E$12,IF(K203="修改",I203*'模板使用说明&amp;基础参数'!$E$5*'模板使用说明&amp;基础参数'!$E$11,I203*'模板使用说明&amp;基础参数'!$E$5*'模板使用说明&amp;基础参数'!$E$10)),IF(J203="中",IF(K203="删除",I203*'模板使用说明&amp;基础参数'!$E$6*'模板使用说明&amp;基础参数'!$E$12,IF(K203="修改",I203*'模板使用说明&amp;基础参数'!$E$6*'模板使用说明&amp;基础参数'!$E$11,I203*'模板使用说明&amp;基础参数'!$E$6*'模板使用说明&amp;基础参数'!$E$10)),IF(K203="删除",I203*'模板使用说明&amp;基础参数'!$E$7*'模板使用说明&amp;基础参数'!$E$12,IF(K203="修改",I203*'模板使用说明&amp;基础参数'!$E$7*'模板使用说明&amp;基础参数'!$E$11,I203*'模板使用说明&amp;基础参数'!$E$7*'模板使用说明&amp;基础参数'!$E$10)))))</f>
        <v>1.06666666666667</v>
      </c>
      <c r="M203" s="95"/>
      <c r="N203" s="99"/>
      <c r="O203" s="100"/>
    </row>
    <row r="204" s="70" customFormat="1" ht="25" customHeight="1" spans="1:15">
      <c r="A204" s="93">
        <v>199</v>
      </c>
      <c r="B204" s="94" t="s">
        <v>72</v>
      </c>
      <c r="C204" s="95" t="s">
        <v>129</v>
      </c>
      <c r="D204" s="95" t="s">
        <v>130</v>
      </c>
      <c r="E204" s="95" t="s">
        <v>130</v>
      </c>
      <c r="F204" s="95" t="s">
        <v>484</v>
      </c>
      <c r="G204" s="101" t="s">
        <v>485</v>
      </c>
      <c r="H204" s="93" t="s">
        <v>84</v>
      </c>
      <c r="I204" s="96">
        <f>IF(H204="ILF",IF($C$1="预估功能点",'模板使用说明&amp;基础参数'!$E$15,7),IF(H204="EIF",IF($C$1="预估功能点",'模板使用说明&amp;基础参数'!$E$16,5),IF(H204="EI",IF($C$1="预估功能点",'模板使用说明&amp;基础参数'!$E$17,'模板使用说明&amp;基础参数'!$E$24),IF(H204="EO",IF($C$1="预估功能点",'模板使用说明&amp;基础参数'!$E$18,'模板使用说明&amp;基础参数'!$E$25),IF(H204="EQ",IF($C$1="预估功能点",'模板使用说明&amp;基础参数'!$E$19,'模板使用说明&amp;基础参数'!$E$26),"")))))</f>
        <v>4</v>
      </c>
      <c r="J204" s="97" t="s">
        <v>38</v>
      </c>
      <c r="K204" s="97" t="s">
        <v>78</v>
      </c>
      <c r="L204" s="98">
        <f>IF(I204="","",IF(J204="高",IF(K204="删除",I204*'模板使用说明&amp;基础参数'!$E$5*'模板使用说明&amp;基础参数'!$E$12,IF(K204="修改",I204*'模板使用说明&amp;基础参数'!$E$5*'模板使用说明&amp;基础参数'!$E$11,I204*'模板使用说明&amp;基础参数'!$E$5*'模板使用说明&amp;基础参数'!$E$10)),IF(J204="中",IF(K204="删除",I204*'模板使用说明&amp;基础参数'!$E$6*'模板使用说明&amp;基础参数'!$E$12,IF(K204="修改",I204*'模板使用说明&amp;基础参数'!$E$6*'模板使用说明&amp;基础参数'!$E$11,I204*'模板使用说明&amp;基础参数'!$E$6*'模板使用说明&amp;基础参数'!$E$10)),IF(K204="删除",I204*'模板使用说明&amp;基础参数'!$E$7*'模板使用说明&amp;基础参数'!$E$12,IF(K204="修改",I204*'模板使用说明&amp;基础参数'!$E$7*'模板使用说明&amp;基础参数'!$E$11,I204*'模板使用说明&amp;基础参数'!$E$7*'模板使用说明&amp;基础参数'!$E$10)))))</f>
        <v>1.06666666666667</v>
      </c>
      <c r="M204" s="95"/>
      <c r="N204" s="99"/>
      <c r="O204" s="100"/>
    </row>
    <row r="205" s="70" customFormat="1" ht="25" customHeight="1" spans="1:15">
      <c r="A205" s="93">
        <v>200</v>
      </c>
      <c r="B205" s="94" t="s">
        <v>72</v>
      </c>
      <c r="C205" s="102" t="s">
        <v>129</v>
      </c>
      <c r="D205" s="95" t="s">
        <v>130</v>
      </c>
      <c r="E205" s="95" t="s">
        <v>130</v>
      </c>
      <c r="F205" s="101" t="s">
        <v>486</v>
      </c>
      <c r="G205" s="95" t="s">
        <v>487</v>
      </c>
      <c r="H205" s="93" t="s">
        <v>84</v>
      </c>
      <c r="I205" s="96">
        <f>IF(H205="ILF",IF($C$1="预估功能点",'模板使用说明&amp;基础参数'!$E$15,7),IF(H205="EIF",IF($C$1="预估功能点",'模板使用说明&amp;基础参数'!$E$16,5),IF(H205="EI",IF($C$1="预估功能点",'模板使用说明&amp;基础参数'!$E$17,'模板使用说明&amp;基础参数'!$E$24),IF(H205="EO",IF($C$1="预估功能点",'模板使用说明&amp;基础参数'!$E$18,'模板使用说明&amp;基础参数'!$E$25),IF(H205="EQ",IF($C$1="预估功能点",'模板使用说明&amp;基础参数'!$E$19,'模板使用说明&amp;基础参数'!$E$26),"")))))</f>
        <v>4</v>
      </c>
      <c r="J205" s="97" t="s">
        <v>38</v>
      </c>
      <c r="K205" s="97" t="s">
        <v>78</v>
      </c>
      <c r="L205" s="98">
        <f>IF(I205="","",IF(J205="高",IF(K205="删除",I205*'模板使用说明&amp;基础参数'!$E$5*'模板使用说明&amp;基础参数'!$E$12,IF(K205="修改",I205*'模板使用说明&amp;基础参数'!$E$5*'模板使用说明&amp;基础参数'!$E$11,I205*'模板使用说明&amp;基础参数'!$E$5*'模板使用说明&amp;基础参数'!$E$10)),IF(J205="中",IF(K205="删除",I205*'模板使用说明&amp;基础参数'!$E$6*'模板使用说明&amp;基础参数'!$E$12,IF(K205="修改",I205*'模板使用说明&amp;基础参数'!$E$6*'模板使用说明&amp;基础参数'!$E$11,I205*'模板使用说明&amp;基础参数'!$E$6*'模板使用说明&amp;基础参数'!$E$10)),IF(K205="删除",I205*'模板使用说明&amp;基础参数'!$E$7*'模板使用说明&amp;基础参数'!$E$12,IF(K205="修改",I205*'模板使用说明&amp;基础参数'!$E$7*'模板使用说明&amp;基础参数'!$E$11,I205*'模板使用说明&amp;基础参数'!$E$7*'模板使用说明&amp;基础参数'!$E$10)))))</f>
        <v>1.06666666666667</v>
      </c>
      <c r="M205" s="95"/>
      <c r="N205" s="99"/>
      <c r="O205" s="100"/>
    </row>
    <row r="206" s="70" customFormat="1" ht="25" customHeight="1" spans="1:15">
      <c r="A206" s="93">
        <v>201</v>
      </c>
      <c r="B206" s="94" t="s">
        <v>72</v>
      </c>
      <c r="C206" s="95" t="s">
        <v>129</v>
      </c>
      <c r="D206" s="95" t="s">
        <v>130</v>
      </c>
      <c r="E206" s="95" t="s">
        <v>130</v>
      </c>
      <c r="F206" s="95" t="s">
        <v>488</v>
      </c>
      <c r="G206" s="95" t="s">
        <v>489</v>
      </c>
      <c r="H206" s="93" t="s">
        <v>84</v>
      </c>
      <c r="I206" s="96">
        <f>IF(H206="ILF",IF($C$1="预估功能点",'模板使用说明&amp;基础参数'!$E$15,7),IF(H206="EIF",IF($C$1="预估功能点",'模板使用说明&amp;基础参数'!$E$16,5),IF(H206="EI",IF($C$1="预估功能点",'模板使用说明&amp;基础参数'!$E$17,'模板使用说明&amp;基础参数'!$E$24),IF(H206="EO",IF($C$1="预估功能点",'模板使用说明&amp;基础参数'!$E$18,'模板使用说明&amp;基础参数'!$E$25),IF(H206="EQ",IF($C$1="预估功能点",'模板使用说明&amp;基础参数'!$E$19,'模板使用说明&amp;基础参数'!$E$26),"")))))</f>
        <v>4</v>
      </c>
      <c r="J206" s="97" t="s">
        <v>38</v>
      </c>
      <c r="K206" s="97" t="s">
        <v>78</v>
      </c>
      <c r="L206" s="98">
        <f>IF(I206="","",IF(J206="高",IF(K206="删除",I206*'模板使用说明&amp;基础参数'!$E$5*'模板使用说明&amp;基础参数'!$E$12,IF(K206="修改",I206*'模板使用说明&amp;基础参数'!$E$5*'模板使用说明&amp;基础参数'!$E$11,I206*'模板使用说明&amp;基础参数'!$E$5*'模板使用说明&amp;基础参数'!$E$10)),IF(J206="中",IF(K206="删除",I206*'模板使用说明&amp;基础参数'!$E$6*'模板使用说明&amp;基础参数'!$E$12,IF(K206="修改",I206*'模板使用说明&amp;基础参数'!$E$6*'模板使用说明&amp;基础参数'!$E$11,I206*'模板使用说明&amp;基础参数'!$E$6*'模板使用说明&amp;基础参数'!$E$10)),IF(K206="删除",I206*'模板使用说明&amp;基础参数'!$E$7*'模板使用说明&amp;基础参数'!$E$12,IF(K206="修改",I206*'模板使用说明&amp;基础参数'!$E$7*'模板使用说明&amp;基础参数'!$E$11,I206*'模板使用说明&amp;基础参数'!$E$7*'模板使用说明&amp;基础参数'!$E$10)))))</f>
        <v>1.06666666666667</v>
      </c>
      <c r="M206" s="95"/>
      <c r="N206" s="99"/>
      <c r="O206" s="100"/>
    </row>
    <row r="207" s="70" customFormat="1" ht="25" customHeight="1" spans="1:15">
      <c r="A207" s="93">
        <v>202</v>
      </c>
      <c r="B207" s="94" t="s">
        <v>72</v>
      </c>
      <c r="C207" s="95" t="s">
        <v>144</v>
      </c>
      <c r="D207" s="95" t="s">
        <v>145</v>
      </c>
      <c r="E207" s="95" t="s">
        <v>145</v>
      </c>
      <c r="F207" s="95" t="s">
        <v>490</v>
      </c>
      <c r="G207" s="95" t="s">
        <v>491</v>
      </c>
      <c r="H207" s="93" t="s">
        <v>77</v>
      </c>
      <c r="I207" s="96">
        <f>IF(H207="ILF",IF($C$1="预估功能点",'模板使用说明&amp;基础参数'!$E$15,7),IF(H207="EIF",IF($C$1="预估功能点",'模板使用说明&amp;基础参数'!$E$16,5),IF(H207="EI",IF($C$1="预估功能点",'模板使用说明&amp;基础参数'!$E$17,'模板使用说明&amp;基础参数'!$E$24),IF(H207="EO",IF($C$1="预估功能点",'模板使用说明&amp;基础参数'!$E$18,'模板使用说明&amp;基础参数'!$E$25),IF(H207="EQ",IF($C$1="预估功能点",'模板使用说明&amp;基础参数'!$E$19,'模板使用说明&amp;基础参数'!$E$26),"")))))</f>
        <v>7</v>
      </c>
      <c r="J207" s="97" t="s">
        <v>38</v>
      </c>
      <c r="K207" s="97" t="s">
        <v>78</v>
      </c>
      <c r="L207" s="98">
        <f>IF(I207="","",IF(J207="高",IF(K207="删除",I207*'模板使用说明&amp;基础参数'!$E$5*'模板使用说明&amp;基础参数'!$E$12,IF(K207="修改",I207*'模板使用说明&amp;基础参数'!$E$5*'模板使用说明&amp;基础参数'!$E$11,I207*'模板使用说明&amp;基础参数'!$E$5*'模板使用说明&amp;基础参数'!$E$10)),IF(J207="中",IF(K207="删除",I207*'模板使用说明&amp;基础参数'!$E$6*'模板使用说明&amp;基础参数'!$E$12,IF(K207="修改",I207*'模板使用说明&amp;基础参数'!$E$6*'模板使用说明&amp;基础参数'!$E$11,I207*'模板使用说明&amp;基础参数'!$E$6*'模板使用说明&amp;基础参数'!$E$10)),IF(K207="删除",I207*'模板使用说明&amp;基础参数'!$E$7*'模板使用说明&amp;基础参数'!$E$12,IF(K207="修改",I207*'模板使用说明&amp;基础参数'!$E$7*'模板使用说明&amp;基础参数'!$E$11,I207*'模板使用说明&amp;基础参数'!$E$7*'模板使用说明&amp;基础参数'!$E$10)))))</f>
        <v>1.86666666666666</v>
      </c>
      <c r="M207" s="95"/>
      <c r="N207" s="99"/>
      <c r="O207" s="100"/>
    </row>
    <row r="208" s="70" customFormat="1" ht="25" customHeight="1" spans="1:15">
      <c r="A208" s="93">
        <v>203</v>
      </c>
      <c r="B208" s="94" t="s">
        <v>72</v>
      </c>
      <c r="C208" s="95" t="s">
        <v>144</v>
      </c>
      <c r="D208" s="95" t="s">
        <v>145</v>
      </c>
      <c r="E208" s="95" t="s">
        <v>145</v>
      </c>
      <c r="F208" s="95" t="s">
        <v>492</v>
      </c>
      <c r="G208" s="95" t="s">
        <v>493</v>
      </c>
      <c r="H208" s="93" t="s">
        <v>81</v>
      </c>
      <c r="I208" s="96">
        <f>IF(H208="ILF",IF($C$1="预估功能点",'模板使用说明&amp;基础参数'!$E$15,7),IF(H208="EIF",IF($C$1="预估功能点",'模板使用说明&amp;基础参数'!$E$16,5),IF(H208="EI",IF($C$1="预估功能点",'模板使用说明&amp;基础参数'!$E$17,'模板使用说明&amp;基础参数'!$E$24),IF(H208="EO",IF($C$1="预估功能点",'模板使用说明&amp;基础参数'!$E$18,'模板使用说明&amp;基础参数'!$E$25),IF(H208="EQ",IF($C$1="预估功能点",'模板使用说明&amp;基础参数'!$E$19,'模板使用说明&amp;基础参数'!$E$26),"")))))</f>
        <v>4</v>
      </c>
      <c r="J208" s="97" t="s">
        <v>38</v>
      </c>
      <c r="K208" s="97" t="s">
        <v>78</v>
      </c>
      <c r="L208" s="98">
        <f>IF(I208="","",IF(J208="高",IF(K208="删除",I208*'模板使用说明&amp;基础参数'!$E$5*'模板使用说明&amp;基础参数'!$E$12,IF(K208="修改",I208*'模板使用说明&amp;基础参数'!$E$5*'模板使用说明&amp;基础参数'!$E$11,I208*'模板使用说明&amp;基础参数'!$E$5*'模板使用说明&amp;基础参数'!$E$10)),IF(J208="中",IF(K208="删除",I208*'模板使用说明&amp;基础参数'!$E$6*'模板使用说明&amp;基础参数'!$E$12,IF(K208="修改",I208*'模板使用说明&amp;基础参数'!$E$6*'模板使用说明&amp;基础参数'!$E$11,I208*'模板使用说明&amp;基础参数'!$E$6*'模板使用说明&amp;基础参数'!$E$10)),IF(K208="删除",I208*'模板使用说明&amp;基础参数'!$E$7*'模板使用说明&amp;基础参数'!$E$12,IF(K208="修改",I208*'模板使用说明&amp;基础参数'!$E$7*'模板使用说明&amp;基础参数'!$E$11,I208*'模板使用说明&amp;基础参数'!$E$7*'模板使用说明&amp;基础参数'!$E$10)))))</f>
        <v>1.06666666666667</v>
      </c>
      <c r="M208" s="95"/>
      <c r="N208" s="99"/>
      <c r="O208" s="100"/>
    </row>
    <row r="209" s="70" customFormat="1" ht="25" customHeight="1" spans="1:15">
      <c r="A209" s="93">
        <v>204</v>
      </c>
      <c r="B209" s="94" t="s">
        <v>72</v>
      </c>
      <c r="C209" s="95" t="s">
        <v>144</v>
      </c>
      <c r="D209" s="95" t="s">
        <v>145</v>
      </c>
      <c r="E209" s="95" t="s">
        <v>145</v>
      </c>
      <c r="F209" s="95" t="s">
        <v>494</v>
      </c>
      <c r="G209" s="95" t="s">
        <v>495</v>
      </c>
      <c r="H209" s="93" t="s">
        <v>84</v>
      </c>
      <c r="I209" s="96">
        <f>IF(H209="ILF",IF($C$1="预估功能点",'模板使用说明&amp;基础参数'!$E$15,7),IF(H209="EIF",IF($C$1="预估功能点",'模板使用说明&amp;基础参数'!$E$16,5),IF(H209="EI",IF($C$1="预估功能点",'模板使用说明&amp;基础参数'!$E$17,'模板使用说明&amp;基础参数'!$E$24),IF(H209="EO",IF($C$1="预估功能点",'模板使用说明&amp;基础参数'!$E$18,'模板使用说明&amp;基础参数'!$E$25),IF(H209="EQ",IF($C$1="预估功能点",'模板使用说明&amp;基础参数'!$E$19,'模板使用说明&amp;基础参数'!$E$26),"")))))</f>
        <v>4</v>
      </c>
      <c r="J209" s="97" t="s">
        <v>38</v>
      </c>
      <c r="K209" s="97" t="s">
        <v>78</v>
      </c>
      <c r="L209" s="98">
        <f>IF(I209="","",IF(J209="高",IF(K209="删除",I209*'模板使用说明&amp;基础参数'!$E$5*'模板使用说明&amp;基础参数'!$E$12,IF(K209="修改",I209*'模板使用说明&amp;基础参数'!$E$5*'模板使用说明&amp;基础参数'!$E$11,I209*'模板使用说明&amp;基础参数'!$E$5*'模板使用说明&amp;基础参数'!$E$10)),IF(J209="中",IF(K209="删除",I209*'模板使用说明&amp;基础参数'!$E$6*'模板使用说明&amp;基础参数'!$E$12,IF(K209="修改",I209*'模板使用说明&amp;基础参数'!$E$6*'模板使用说明&amp;基础参数'!$E$11,I209*'模板使用说明&amp;基础参数'!$E$6*'模板使用说明&amp;基础参数'!$E$10)),IF(K209="删除",I209*'模板使用说明&amp;基础参数'!$E$7*'模板使用说明&amp;基础参数'!$E$12,IF(K209="修改",I209*'模板使用说明&amp;基础参数'!$E$7*'模板使用说明&amp;基础参数'!$E$11,I209*'模板使用说明&amp;基础参数'!$E$7*'模板使用说明&amp;基础参数'!$E$10)))))</f>
        <v>1.06666666666667</v>
      </c>
      <c r="M209" s="95"/>
      <c r="N209" s="99"/>
      <c r="O209" s="100"/>
    </row>
    <row r="210" s="70" customFormat="1" ht="25" customHeight="1" spans="1:15">
      <c r="A210" s="93">
        <v>205</v>
      </c>
      <c r="B210" s="94" t="s">
        <v>72</v>
      </c>
      <c r="C210" s="95" t="s">
        <v>144</v>
      </c>
      <c r="D210" s="95" t="s">
        <v>145</v>
      </c>
      <c r="E210" s="95" t="s">
        <v>145</v>
      </c>
      <c r="F210" s="95" t="s">
        <v>496</v>
      </c>
      <c r="G210" s="95" t="s">
        <v>497</v>
      </c>
      <c r="H210" s="93" t="s">
        <v>84</v>
      </c>
      <c r="I210" s="96">
        <f>IF(H210="ILF",IF($C$1="预估功能点",'模板使用说明&amp;基础参数'!$E$15,7),IF(H210="EIF",IF($C$1="预估功能点",'模板使用说明&amp;基础参数'!$E$16,5),IF(H210="EI",IF($C$1="预估功能点",'模板使用说明&amp;基础参数'!$E$17,'模板使用说明&amp;基础参数'!$E$24),IF(H210="EO",IF($C$1="预估功能点",'模板使用说明&amp;基础参数'!$E$18,'模板使用说明&amp;基础参数'!$E$25),IF(H210="EQ",IF($C$1="预估功能点",'模板使用说明&amp;基础参数'!$E$19,'模板使用说明&amp;基础参数'!$E$26),"")))))</f>
        <v>4</v>
      </c>
      <c r="J210" s="97" t="s">
        <v>38</v>
      </c>
      <c r="K210" s="97" t="s">
        <v>78</v>
      </c>
      <c r="L210" s="98">
        <f>IF(I210="","",IF(J210="高",IF(K210="删除",I210*'模板使用说明&amp;基础参数'!$E$5*'模板使用说明&amp;基础参数'!$E$12,IF(K210="修改",I210*'模板使用说明&amp;基础参数'!$E$5*'模板使用说明&amp;基础参数'!$E$11,I210*'模板使用说明&amp;基础参数'!$E$5*'模板使用说明&amp;基础参数'!$E$10)),IF(J210="中",IF(K210="删除",I210*'模板使用说明&amp;基础参数'!$E$6*'模板使用说明&amp;基础参数'!$E$12,IF(K210="修改",I210*'模板使用说明&amp;基础参数'!$E$6*'模板使用说明&amp;基础参数'!$E$11,I210*'模板使用说明&amp;基础参数'!$E$6*'模板使用说明&amp;基础参数'!$E$10)),IF(K210="删除",I210*'模板使用说明&amp;基础参数'!$E$7*'模板使用说明&amp;基础参数'!$E$12,IF(K210="修改",I210*'模板使用说明&amp;基础参数'!$E$7*'模板使用说明&amp;基础参数'!$E$11,I210*'模板使用说明&amp;基础参数'!$E$7*'模板使用说明&amp;基础参数'!$E$10)))))</f>
        <v>1.06666666666667</v>
      </c>
      <c r="M210" s="95"/>
      <c r="N210" s="99"/>
      <c r="O210" s="100"/>
    </row>
    <row r="211" s="70" customFormat="1" ht="25" customHeight="1" spans="1:15">
      <c r="A211" s="93">
        <v>206</v>
      </c>
      <c r="B211" s="94" t="s">
        <v>72</v>
      </c>
      <c r="C211" s="95" t="s">
        <v>154</v>
      </c>
      <c r="D211" s="95" t="s">
        <v>155</v>
      </c>
      <c r="E211" s="95" t="s">
        <v>155</v>
      </c>
      <c r="F211" s="95" t="s">
        <v>498</v>
      </c>
      <c r="G211" s="95" t="s">
        <v>499</v>
      </c>
      <c r="H211" s="93" t="s">
        <v>77</v>
      </c>
      <c r="I211" s="96">
        <f>IF(H211="ILF",IF($C$1="预估功能点",'模板使用说明&amp;基础参数'!$E$15,7),IF(H211="EIF",IF($C$1="预估功能点",'模板使用说明&amp;基础参数'!$E$16,5),IF(H211="EI",IF($C$1="预估功能点",'模板使用说明&amp;基础参数'!$E$17,'模板使用说明&amp;基础参数'!$E$24),IF(H211="EO",IF($C$1="预估功能点",'模板使用说明&amp;基础参数'!$E$18,'模板使用说明&amp;基础参数'!$E$25),IF(H211="EQ",IF($C$1="预估功能点",'模板使用说明&amp;基础参数'!$E$19,'模板使用说明&amp;基础参数'!$E$26),"")))))</f>
        <v>7</v>
      </c>
      <c r="J211" s="97" t="s">
        <v>38</v>
      </c>
      <c r="K211" s="97" t="s">
        <v>78</v>
      </c>
      <c r="L211" s="98">
        <f>IF(I211="","",IF(J211="高",IF(K211="删除",I211*'模板使用说明&amp;基础参数'!$E$5*'模板使用说明&amp;基础参数'!$E$12,IF(K211="修改",I211*'模板使用说明&amp;基础参数'!$E$5*'模板使用说明&amp;基础参数'!$E$11,I211*'模板使用说明&amp;基础参数'!$E$5*'模板使用说明&amp;基础参数'!$E$10)),IF(J211="中",IF(K211="删除",I211*'模板使用说明&amp;基础参数'!$E$6*'模板使用说明&amp;基础参数'!$E$12,IF(K211="修改",I211*'模板使用说明&amp;基础参数'!$E$6*'模板使用说明&amp;基础参数'!$E$11,I211*'模板使用说明&amp;基础参数'!$E$6*'模板使用说明&amp;基础参数'!$E$10)),IF(K211="删除",I211*'模板使用说明&amp;基础参数'!$E$7*'模板使用说明&amp;基础参数'!$E$12,IF(K211="修改",I211*'模板使用说明&amp;基础参数'!$E$7*'模板使用说明&amp;基础参数'!$E$11,I211*'模板使用说明&amp;基础参数'!$E$7*'模板使用说明&amp;基础参数'!$E$10)))))</f>
        <v>1.86666666666666</v>
      </c>
      <c r="M211" s="95"/>
      <c r="N211" s="99"/>
      <c r="O211" s="100"/>
    </row>
    <row r="212" s="70" customFormat="1" ht="25" customHeight="1" spans="1:15">
      <c r="A212" s="93">
        <v>207</v>
      </c>
      <c r="B212" s="94" t="s">
        <v>72</v>
      </c>
      <c r="C212" s="95" t="s">
        <v>154</v>
      </c>
      <c r="D212" s="95" t="s">
        <v>155</v>
      </c>
      <c r="E212" s="95" t="s">
        <v>155</v>
      </c>
      <c r="F212" s="95" t="s">
        <v>500</v>
      </c>
      <c r="G212" s="95" t="s">
        <v>501</v>
      </c>
      <c r="H212" s="93" t="s">
        <v>81</v>
      </c>
      <c r="I212" s="96">
        <f>IF(H212="ILF",IF($C$1="预估功能点",'模板使用说明&amp;基础参数'!$E$15,7),IF(H212="EIF",IF($C$1="预估功能点",'模板使用说明&amp;基础参数'!$E$16,5),IF(H212="EI",IF($C$1="预估功能点",'模板使用说明&amp;基础参数'!$E$17,'模板使用说明&amp;基础参数'!$E$24),IF(H212="EO",IF($C$1="预估功能点",'模板使用说明&amp;基础参数'!$E$18,'模板使用说明&amp;基础参数'!$E$25),IF(H212="EQ",IF($C$1="预估功能点",'模板使用说明&amp;基础参数'!$E$19,'模板使用说明&amp;基础参数'!$E$26),"")))))</f>
        <v>4</v>
      </c>
      <c r="J212" s="97" t="s">
        <v>38</v>
      </c>
      <c r="K212" s="97" t="s">
        <v>78</v>
      </c>
      <c r="L212" s="98">
        <f>IF(I212="","",IF(J212="高",IF(K212="删除",I212*'模板使用说明&amp;基础参数'!$E$5*'模板使用说明&amp;基础参数'!$E$12,IF(K212="修改",I212*'模板使用说明&amp;基础参数'!$E$5*'模板使用说明&amp;基础参数'!$E$11,I212*'模板使用说明&amp;基础参数'!$E$5*'模板使用说明&amp;基础参数'!$E$10)),IF(J212="中",IF(K212="删除",I212*'模板使用说明&amp;基础参数'!$E$6*'模板使用说明&amp;基础参数'!$E$12,IF(K212="修改",I212*'模板使用说明&amp;基础参数'!$E$6*'模板使用说明&amp;基础参数'!$E$11,I212*'模板使用说明&amp;基础参数'!$E$6*'模板使用说明&amp;基础参数'!$E$10)),IF(K212="删除",I212*'模板使用说明&amp;基础参数'!$E$7*'模板使用说明&amp;基础参数'!$E$12,IF(K212="修改",I212*'模板使用说明&amp;基础参数'!$E$7*'模板使用说明&amp;基础参数'!$E$11,I212*'模板使用说明&amp;基础参数'!$E$7*'模板使用说明&amp;基础参数'!$E$10)))))</f>
        <v>1.06666666666667</v>
      </c>
      <c r="M212" s="95"/>
      <c r="N212" s="99"/>
      <c r="O212" s="100"/>
    </row>
    <row r="213" s="70" customFormat="1" ht="25" customHeight="1" spans="1:15">
      <c r="A213" s="93">
        <v>208</v>
      </c>
      <c r="B213" s="94" t="s">
        <v>72</v>
      </c>
      <c r="C213" s="95" t="s">
        <v>154</v>
      </c>
      <c r="D213" s="95" t="s">
        <v>155</v>
      </c>
      <c r="E213" s="95" t="s">
        <v>155</v>
      </c>
      <c r="F213" s="95" t="s">
        <v>502</v>
      </c>
      <c r="G213" s="95" t="s">
        <v>503</v>
      </c>
      <c r="H213" s="93" t="s">
        <v>84</v>
      </c>
      <c r="I213" s="96">
        <f>IF(H213="ILF",IF($C$1="预估功能点",'模板使用说明&amp;基础参数'!$E$15,7),IF(H213="EIF",IF($C$1="预估功能点",'模板使用说明&amp;基础参数'!$E$16,5),IF(H213="EI",IF($C$1="预估功能点",'模板使用说明&amp;基础参数'!$E$17,'模板使用说明&amp;基础参数'!$E$24),IF(H213="EO",IF($C$1="预估功能点",'模板使用说明&amp;基础参数'!$E$18,'模板使用说明&amp;基础参数'!$E$25),IF(H213="EQ",IF($C$1="预估功能点",'模板使用说明&amp;基础参数'!$E$19,'模板使用说明&amp;基础参数'!$E$26),"")))))</f>
        <v>4</v>
      </c>
      <c r="J213" s="97" t="s">
        <v>38</v>
      </c>
      <c r="K213" s="97" t="s">
        <v>78</v>
      </c>
      <c r="L213" s="98">
        <f>IF(I213="","",IF(J213="高",IF(K213="删除",I213*'模板使用说明&amp;基础参数'!$E$5*'模板使用说明&amp;基础参数'!$E$12,IF(K213="修改",I213*'模板使用说明&amp;基础参数'!$E$5*'模板使用说明&amp;基础参数'!$E$11,I213*'模板使用说明&amp;基础参数'!$E$5*'模板使用说明&amp;基础参数'!$E$10)),IF(J213="中",IF(K213="删除",I213*'模板使用说明&amp;基础参数'!$E$6*'模板使用说明&amp;基础参数'!$E$12,IF(K213="修改",I213*'模板使用说明&amp;基础参数'!$E$6*'模板使用说明&amp;基础参数'!$E$11,I213*'模板使用说明&amp;基础参数'!$E$6*'模板使用说明&amp;基础参数'!$E$10)),IF(K213="删除",I213*'模板使用说明&amp;基础参数'!$E$7*'模板使用说明&amp;基础参数'!$E$12,IF(K213="修改",I213*'模板使用说明&amp;基础参数'!$E$7*'模板使用说明&amp;基础参数'!$E$11,I213*'模板使用说明&amp;基础参数'!$E$7*'模板使用说明&amp;基础参数'!$E$10)))))</f>
        <v>1.06666666666667</v>
      </c>
      <c r="M213" s="95"/>
      <c r="N213" s="99"/>
      <c r="O213" s="100"/>
    </row>
    <row r="214" s="70" customFormat="1" ht="25" customHeight="1" spans="1:15">
      <c r="A214" s="93">
        <v>209</v>
      </c>
      <c r="B214" s="94" t="s">
        <v>72</v>
      </c>
      <c r="C214" s="95" t="s">
        <v>154</v>
      </c>
      <c r="D214" s="95" t="s">
        <v>155</v>
      </c>
      <c r="E214" s="95" t="s">
        <v>155</v>
      </c>
      <c r="F214" s="95" t="s">
        <v>504</v>
      </c>
      <c r="G214" s="95" t="s">
        <v>505</v>
      </c>
      <c r="H214" s="93" t="s">
        <v>84</v>
      </c>
      <c r="I214" s="96">
        <f>IF(H214="ILF",IF($C$1="预估功能点",'模板使用说明&amp;基础参数'!$E$15,7),IF(H214="EIF",IF($C$1="预估功能点",'模板使用说明&amp;基础参数'!$E$16,5),IF(H214="EI",IF($C$1="预估功能点",'模板使用说明&amp;基础参数'!$E$17,'模板使用说明&amp;基础参数'!$E$24),IF(H214="EO",IF($C$1="预估功能点",'模板使用说明&amp;基础参数'!$E$18,'模板使用说明&amp;基础参数'!$E$25),IF(H214="EQ",IF($C$1="预估功能点",'模板使用说明&amp;基础参数'!$E$19,'模板使用说明&amp;基础参数'!$E$26),"")))))</f>
        <v>4</v>
      </c>
      <c r="J214" s="97" t="s">
        <v>38</v>
      </c>
      <c r="K214" s="97" t="s">
        <v>78</v>
      </c>
      <c r="L214" s="98">
        <f>IF(I214="","",IF(J214="高",IF(K214="删除",I214*'模板使用说明&amp;基础参数'!$E$5*'模板使用说明&amp;基础参数'!$E$12,IF(K214="修改",I214*'模板使用说明&amp;基础参数'!$E$5*'模板使用说明&amp;基础参数'!$E$11,I214*'模板使用说明&amp;基础参数'!$E$5*'模板使用说明&amp;基础参数'!$E$10)),IF(J214="中",IF(K214="删除",I214*'模板使用说明&amp;基础参数'!$E$6*'模板使用说明&amp;基础参数'!$E$12,IF(K214="修改",I214*'模板使用说明&amp;基础参数'!$E$6*'模板使用说明&amp;基础参数'!$E$11,I214*'模板使用说明&amp;基础参数'!$E$6*'模板使用说明&amp;基础参数'!$E$10)),IF(K214="删除",I214*'模板使用说明&amp;基础参数'!$E$7*'模板使用说明&amp;基础参数'!$E$12,IF(K214="修改",I214*'模板使用说明&amp;基础参数'!$E$7*'模板使用说明&amp;基础参数'!$E$11,I214*'模板使用说明&amp;基础参数'!$E$7*'模板使用说明&amp;基础参数'!$E$10)))))</f>
        <v>1.06666666666667</v>
      </c>
      <c r="M214" s="95"/>
      <c r="N214" s="99"/>
      <c r="O214" s="100"/>
    </row>
    <row r="215" s="70" customFormat="1" ht="25" customHeight="1" spans="1:15">
      <c r="A215" s="93">
        <v>210</v>
      </c>
      <c r="B215" s="94" t="s">
        <v>72</v>
      </c>
      <c r="C215" s="95" t="s">
        <v>154</v>
      </c>
      <c r="D215" s="95" t="s">
        <v>155</v>
      </c>
      <c r="E215" s="95" t="s">
        <v>155</v>
      </c>
      <c r="F215" s="95" t="s">
        <v>506</v>
      </c>
      <c r="G215" s="95" t="s">
        <v>507</v>
      </c>
      <c r="H215" s="93" t="s">
        <v>84</v>
      </c>
      <c r="I215" s="96">
        <f>IF(H215="ILF",IF($C$1="预估功能点",'模板使用说明&amp;基础参数'!$E$15,7),IF(H215="EIF",IF($C$1="预估功能点",'模板使用说明&amp;基础参数'!$E$16,5),IF(H215="EI",IF($C$1="预估功能点",'模板使用说明&amp;基础参数'!$E$17,'模板使用说明&amp;基础参数'!$E$24),IF(H215="EO",IF($C$1="预估功能点",'模板使用说明&amp;基础参数'!$E$18,'模板使用说明&amp;基础参数'!$E$25),IF(H215="EQ",IF($C$1="预估功能点",'模板使用说明&amp;基础参数'!$E$19,'模板使用说明&amp;基础参数'!$E$26),"")))))</f>
        <v>4</v>
      </c>
      <c r="J215" s="97" t="s">
        <v>38</v>
      </c>
      <c r="K215" s="97" t="s">
        <v>78</v>
      </c>
      <c r="L215" s="98">
        <f>IF(I215="","",IF(J215="高",IF(K215="删除",I215*'模板使用说明&amp;基础参数'!$E$5*'模板使用说明&amp;基础参数'!$E$12,IF(K215="修改",I215*'模板使用说明&amp;基础参数'!$E$5*'模板使用说明&amp;基础参数'!$E$11,I215*'模板使用说明&amp;基础参数'!$E$5*'模板使用说明&amp;基础参数'!$E$10)),IF(J215="中",IF(K215="删除",I215*'模板使用说明&amp;基础参数'!$E$6*'模板使用说明&amp;基础参数'!$E$12,IF(K215="修改",I215*'模板使用说明&amp;基础参数'!$E$6*'模板使用说明&amp;基础参数'!$E$11,I215*'模板使用说明&amp;基础参数'!$E$6*'模板使用说明&amp;基础参数'!$E$10)),IF(K215="删除",I215*'模板使用说明&amp;基础参数'!$E$7*'模板使用说明&amp;基础参数'!$E$12,IF(K215="修改",I215*'模板使用说明&amp;基础参数'!$E$7*'模板使用说明&amp;基础参数'!$E$11,I215*'模板使用说明&amp;基础参数'!$E$7*'模板使用说明&amp;基础参数'!$E$10)))))</f>
        <v>1.06666666666667</v>
      </c>
      <c r="M215" s="95"/>
      <c r="N215" s="99"/>
      <c r="O215" s="100"/>
    </row>
    <row r="216" s="70" customFormat="1" ht="25" customHeight="1" spans="1:15">
      <c r="A216" s="93">
        <v>211</v>
      </c>
      <c r="B216" s="94" t="s">
        <v>72</v>
      </c>
      <c r="C216" s="95" t="s">
        <v>508</v>
      </c>
      <c r="D216" s="95" t="s">
        <v>509</v>
      </c>
      <c r="E216" s="95" t="s">
        <v>509</v>
      </c>
      <c r="F216" s="95" t="s">
        <v>510</v>
      </c>
      <c r="G216" s="95" t="s">
        <v>511</v>
      </c>
      <c r="H216" s="93" t="s">
        <v>77</v>
      </c>
      <c r="I216" s="96">
        <f>IF(H216="ILF",IF($C$1="预估功能点",'模板使用说明&amp;基础参数'!$E$15,7),IF(H216="EIF",IF($C$1="预估功能点",'模板使用说明&amp;基础参数'!$E$16,5),IF(H216="EI",IF($C$1="预估功能点",'模板使用说明&amp;基础参数'!$E$17,'模板使用说明&amp;基础参数'!$E$24),IF(H216="EO",IF($C$1="预估功能点",'模板使用说明&amp;基础参数'!$E$18,'模板使用说明&amp;基础参数'!$E$25),IF(H216="EQ",IF($C$1="预估功能点",'模板使用说明&amp;基础参数'!$E$19,'模板使用说明&amp;基础参数'!$E$26),"")))))</f>
        <v>7</v>
      </c>
      <c r="J216" s="97" t="s">
        <v>38</v>
      </c>
      <c r="K216" s="97" t="s">
        <v>78</v>
      </c>
      <c r="L216" s="98">
        <f>IF(I216="","",IF(J216="高",IF(K216="删除",I216*'模板使用说明&amp;基础参数'!$E$5*'模板使用说明&amp;基础参数'!$E$12,IF(K216="修改",I216*'模板使用说明&amp;基础参数'!$E$5*'模板使用说明&amp;基础参数'!$E$11,I216*'模板使用说明&amp;基础参数'!$E$5*'模板使用说明&amp;基础参数'!$E$10)),IF(J216="中",IF(K216="删除",I216*'模板使用说明&amp;基础参数'!$E$6*'模板使用说明&amp;基础参数'!$E$12,IF(K216="修改",I216*'模板使用说明&amp;基础参数'!$E$6*'模板使用说明&amp;基础参数'!$E$11,I216*'模板使用说明&amp;基础参数'!$E$6*'模板使用说明&amp;基础参数'!$E$10)),IF(K216="删除",I216*'模板使用说明&amp;基础参数'!$E$7*'模板使用说明&amp;基础参数'!$E$12,IF(K216="修改",I216*'模板使用说明&amp;基础参数'!$E$7*'模板使用说明&amp;基础参数'!$E$11,I216*'模板使用说明&amp;基础参数'!$E$7*'模板使用说明&amp;基础参数'!$E$10)))))</f>
        <v>1.86666666666666</v>
      </c>
      <c r="M216" s="95"/>
      <c r="N216" s="99"/>
      <c r="O216" s="100"/>
    </row>
    <row r="217" s="70" customFormat="1" ht="25" customHeight="1" spans="1:15">
      <c r="A217" s="93">
        <v>212</v>
      </c>
      <c r="B217" s="94" t="s">
        <v>72</v>
      </c>
      <c r="C217" s="95" t="s">
        <v>508</v>
      </c>
      <c r="D217" s="95" t="s">
        <v>509</v>
      </c>
      <c r="E217" s="95" t="s">
        <v>509</v>
      </c>
      <c r="F217" s="95" t="s">
        <v>512</v>
      </c>
      <c r="G217" s="95" t="s">
        <v>513</v>
      </c>
      <c r="H217" s="93" t="s">
        <v>81</v>
      </c>
      <c r="I217" s="96">
        <f>IF(H217="ILF",IF($C$1="预估功能点",'模板使用说明&amp;基础参数'!$E$15,7),IF(H217="EIF",IF($C$1="预估功能点",'模板使用说明&amp;基础参数'!$E$16,5),IF(H217="EI",IF($C$1="预估功能点",'模板使用说明&amp;基础参数'!$E$17,'模板使用说明&amp;基础参数'!$E$24),IF(H217="EO",IF($C$1="预估功能点",'模板使用说明&amp;基础参数'!$E$18,'模板使用说明&amp;基础参数'!$E$25),IF(H217="EQ",IF($C$1="预估功能点",'模板使用说明&amp;基础参数'!$E$19,'模板使用说明&amp;基础参数'!$E$26),"")))))</f>
        <v>4</v>
      </c>
      <c r="J217" s="97" t="s">
        <v>38</v>
      </c>
      <c r="K217" s="97" t="s">
        <v>78</v>
      </c>
      <c r="L217" s="98">
        <f>IF(I217="","",IF(J217="高",IF(K217="删除",I217*'模板使用说明&amp;基础参数'!$E$5*'模板使用说明&amp;基础参数'!$E$12,IF(K217="修改",I217*'模板使用说明&amp;基础参数'!$E$5*'模板使用说明&amp;基础参数'!$E$11,I217*'模板使用说明&amp;基础参数'!$E$5*'模板使用说明&amp;基础参数'!$E$10)),IF(J217="中",IF(K217="删除",I217*'模板使用说明&amp;基础参数'!$E$6*'模板使用说明&amp;基础参数'!$E$12,IF(K217="修改",I217*'模板使用说明&amp;基础参数'!$E$6*'模板使用说明&amp;基础参数'!$E$11,I217*'模板使用说明&amp;基础参数'!$E$6*'模板使用说明&amp;基础参数'!$E$10)),IF(K217="删除",I217*'模板使用说明&amp;基础参数'!$E$7*'模板使用说明&amp;基础参数'!$E$12,IF(K217="修改",I217*'模板使用说明&amp;基础参数'!$E$7*'模板使用说明&amp;基础参数'!$E$11,I217*'模板使用说明&amp;基础参数'!$E$7*'模板使用说明&amp;基础参数'!$E$10)))))</f>
        <v>1.06666666666667</v>
      </c>
      <c r="M217" s="95"/>
      <c r="N217" s="99"/>
      <c r="O217" s="100"/>
    </row>
    <row r="218" s="70" customFormat="1" ht="25" customHeight="1" spans="1:15">
      <c r="A218" s="93">
        <v>213</v>
      </c>
      <c r="B218" s="94" t="s">
        <v>72</v>
      </c>
      <c r="C218" s="95" t="s">
        <v>508</v>
      </c>
      <c r="D218" s="95" t="s">
        <v>509</v>
      </c>
      <c r="E218" s="95" t="s">
        <v>509</v>
      </c>
      <c r="F218" s="95" t="s">
        <v>514</v>
      </c>
      <c r="G218" s="95" t="s">
        <v>515</v>
      </c>
      <c r="H218" s="93" t="s">
        <v>84</v>
      </c>
      <c r="I218" s="96">
        <f>IF(H218="ILF",IF($C$1="预估功能点",'模板使用说明&amp;基础参数'!$E$15,7),IF(H218="EIF",IF($C$1="预估功能点",'模板使用说明&amp;基础参数'!$E$16,5),IF(H218="EI",IF($C$1="预估功能点",'模板使用说明&amp;基础参数'!$E$17,'模板使用说明&amp;基础参数'!$E$24),IF(H218="EO",IF($C$1="预估功能点",'模板使用说明&amp;基础参数'!$E$18,'模板使用说明&amp;基础参数'!$E$25),IF(H218="EQ",IF($C$1="预估功能点",'模板使用说明&amp;基础参数'!$E$19,'模板使用说明&amp;基础参数'!$E$26),"")))))</f>
        <v>4</v>
      </c>
      <c r="J218" s="97" t="s">
        <v>38</v>
      </c>
      <c r="K218" s="97" t="s">
        <v>78</v>
      </c>
      <c r="L218" s="98">
        <f>IF(I218="","",IF(J218="高",IF(K218="删除",I218*'模板使用说明&amp;基础参数'!$E$5*'模板使用说明&amp;基础参数'!$E$12,IF(K218="修改",I218*'模板使用说明&amp;基础参数'!$E$5*'模板使用说明&amp;基础参数'!$E$11,I218*'模板使用说明&amp;基础参数'!$E$5*'模板使用说明&amp;基础参数'!$E$10)),IF(J218="中",IF(K218="删除",I218*'模板使用说明&amp;基础参数'!$E$6*'模板使用说明&amp;基础参数'!$E$12,IF(K218="修改",I218*'模板使用说明&amp;基础参数'!$E$6*'模板使用说明&amp;基础参数'!$E$11,I218*'模板使用说明&amp;基础参数'!$E$6*'模板使用说明&amp;基础参数'!$E$10)),IF(K218="删除",I218*'模板使用说明&amp;基础参数'!$E$7*'模板使用说明&amp;基础参数'!$E$12,IF(K218="修改",I218*'模板使用说明&amp;基础参数'!$E$7*'模板使用说明&amp;基础参数'!$E$11,I218*'模板使用说明&amp;基础参数'!$E$7*'模板使用说明&amp;基础参数'!$E$10)))))</f>
        <v>1.06666666666667</v>
      </c>
      <c r="M218" s="95"/>
      <c r="N218" s="99"/>
      <c r="O218" s="100"/>
    </row>
    <row r="219" s="70" customFormat="1" ht="25" customHeight="1" spans="1:15">
      <c r="A219" s="93">
        <v>214</v>
      </c>
      <c r="B219" s="94" t="s">
        <v>72</v>
      </c>
      <c r="C219" s="95" t="s">
        <v>508</v>
      </c>
      <c r="D219" s="95" t="s">
        <v>509</v>
      </c>
      <c r="E219" s="95" t="s">
        <v>509</v>
      </c>
      <c r="F219" s="95" t="s">
        <v>516</v>
      </c>
      <c r="G219" s="95" t="s">
        <v>517</v>
      </c>
      <c r="H219" s="93" t="s">
        <v>84</v>
      </c>
      <c r="I219" s="96">
        <f>IF(H219="ILF",IF($C$1="预估功能点",'模板使用说明&amp;基础参数'!$E$15,7),IF(H219="EIF",IF($C$1="预估功能点",'模板使用说明&amp;基础参数'!$E$16,5),IF(H219="EI",IF($C$1="预估功能点",'模板使用说明&amp;基础参数'!$E$17,'模板使用说明&amp;基础参数'!$E$24),IF(H219="EO",IF($C$1="预估功能点",'模板使用说明&amp;基础参数'!$E$18,'模板使用说明&amp;基础参数'!$E$25),IF(H219="EQ",IF($C$1="预估功能点",'模板使用说明&amp;基础参数'!$E$19,'模板使用说明&amp;基础参数'!$E$26),"")))))</f>
        <v>4</v>
      </c>
      <c r="J219" s="97" t="s">
        <v>38</v>
      </c>
      <c r="K219" s="97" t="s">
        <v>78</v>
      </c>
      <c r="L219" s="98">
        <f>IF(I219="","",IF(J219="高",IF(K219="删除",I219*'模板使用说明&amp;基础参数'!$E$5*'模板使用说明&amp;基础参数'!$E$12,IF(K219="修改",I219*'模板使用说明&amp;基础参数'!$E$5*'模板使用说明&amp;基础参数'!$E$11,I219*'模板使用说明&amp;基础参数'!$E$5*'模板使用说明&amp;基础参数'!$E$10)),IF(J219="中",IF(K219="删除",I219*'模板使用说明&amp;基础参数'!$E$6*'模板使用说明&amp;基础参数'!$E$12,IF(K219="修改",I219*'模板使用说明&amp;基础参数'!$E$6*'模板使用说明&amp;基础参数'!$E$11,I219*'模板使用说明&amp;基础参数'!$E$6*'模板使用说明&amp;基础参数'!$E$10)),IF(K219="删除",I219*'模板使用说明&amp;基础参数'!$E$7*'模板使用说明&amp;基础参数'!$E$12,IF(K219="修改",I219*'模板使用说明&amp;基础参数'!$E$7*'模板使用说明&amp;基础参数'!$E$11,I219*'模板使用说明&amp;基础参数'!$E$7*'模板使用说明&amp;基础参数'!$E$10)))))</f>
        <v>1.06666666666667</v>
      </c>
      <c r="M219" s="95"/>
      <c r="N219" s="99"/>
      <c r="O219" s="100"/>
    </row>
    <row r="220" s="70" customFormat="1" ht="25" customHeight="1" spans="1:15">
      <c r="A220" s="93">
        <v>215</v>
      </c>
      <c r="B220" s="94" t="s">
        <v>72</v>
      </c>
      <c r="C220" s="95" t="s">
        <v>508</v>
      </c>
      <c r="D220" s="95" t="s">
        <v>509</v>
      </c>
      <c r="E220" s="95" t="s">
        <v>509</v>
      </c>
      <c r="F220" s="95" t="s">
        <v>518</v>
      </c>
      <c r="G220" s="95" t="s">
        <v>519</v>
      </c>
      <c r="H220" s="93" t="s">
        <v>84</v>
      </c>
      <c r="I220" s="96">
        <f>IF(H220="ILF",IF($C$1="预估功能点",'模板使用说明&amp;基础参数'!$E$15,7),IF(H220="EIF",IF($C$1="预估功能点",'模板使用说明&amp;基础参数'!$E$16,5),IF(H220="EI",IF($C$1="预估功能点",'模板使用说明&amp;基础参数'!$E$17,'模板使用说明&amp;基础参数'!$E$24),IF(H220="EO",IF($C$1="预估功能点",'模板使用说明&amp;基础参数'!$E$18,'模板使用说明&amp;基础参数'!$E$25),IF(H220="EQ",IF($C$1="预估功能点",'模板使用说明&amp;基础参数'!$E$19,'模板使用说明&amp;基础参数'!$E$26),"")))))</f>
        <v>4</v>
      </c>
      <c r="J220" s="97" t="s">
        <v>38</v>
      </c>
      <c r="K220" s="97" t="s">
        <v>78</v>
      </c>
      <c r="L220" s="98">
        <f>IF(I220="","",IF(J220="高",IF(K220="删除",I220*'模板使用说明&amp;基础参数'!$E$5*'模板使用说明&amp;基础参数'!$E$12,IF(K220="修改",I220*'模板使用说明&amp;基础参数'!$E$5*'模板使用说明&amp;基础参数'!$E$11,I220*'模板使用说明&amp;基础参数'!$E$5*'模板使用说明&amp;基础参数'!$E$10)),IF(J220="中",IF(K220="删除",I220*'模板使用说明&amp;基础参数'!$E$6*'模板使用说明&amp;基础参数'!$E$12,IF(K220="修改",I220*'模板使用说明&amp;基础参数'!$E$6*'模板使用说明&amp;基础参数'!$E$11,I220*'模板使用说明&amp;基础参数'!$E$6*'模板使用说明&amp;基础参数'!$E$10)),IF(K220="删除",I220*'模板使用说明&amp;基础参数'!$E$7*'模板使用说明&amp;基础参数'!$E$12,IF(K220="修改",I220*'模板使用说明&amp;基础参数'!$E$7*'模板使用说明&amp;基础参数'!$E$11,I220*'模板使用说明&amp;基础参数'!$E$7*'模板使用说明&amp;基础参数'!$E$10)))))</f>
        <v>1.06666666666667</v>
      </c>
      <c r="M220" s="95"/>
      <c r="N220" s="99"/>
      <c r="O220" s="100"/>
    </row>
    <row r="221" s="70" customFormat="1" ht="25" customHeight="1" spans="1:15">
      <c r="A221" s="93">
        <v>216</v>
      </c>
      <c r="B221" s="94" t="s">
        <v>72</v>
      </c>
      <c r="C221" s="95" t="s">
        <v>508</v>
      </c>
      <c r="D221" s="95" t="s">
        <v>509</v>
      </c>
      <c r="E221" s="95" t="s">
        <v>509</v>
      </c>
      <c r="F221" s="95" t="s">
        <v>520</v>
      </c>
      <c r="G221" s="95" t="s">
        <v>521</v>
      </c>
      <c r="H221" s="93" t="s">
        <v>77</v>
      </c>
      <c r="I221" s="96">
        <f>IF(H221="ILF",IF($C$1="预估功能点",'模板使用说明&amp;基础参数'!$E$15,7),IF(H221="EIF",IF($C$1="预估功能点",'模板使用说明&amp;基础参数'!$E$16,5),IF(H221="EI",IF($C$1="预估功能点",'模板使用说明&amp;基础参数'!$E$17,'模板使用说明&amp;基础参数'!$E$24),IF(H221="EO",IF($C$1="预估功能点",'模板使用说明&amp;基础参数'!$E$18,'模板使用说明&amp;基础参数'!$E$25),IF(H221="EQ",IF($C$1="预估功能点",'模板使用说明&amp;基础参数'!$E$19,'模板使用说明&amp;基础参数'!$E$26),"")))))</f>
        <v>7</v>
      </c>
      <c r="J221" s="97" t="s">
        <v>38</v>
      </c>
      <c r="K221" s="97" t="s">
        <v>78</v>
      </c>
      <c r="L221" s="98">
        <f>IF(I221="","",IF(J221="高",IF(K221="删除",I221*'模板使用说明&amp;基础参数'!$E$5*'模板使用说明&amp;基础参数'!$E$12,IF(K221="修改",I221*'模板使用说明&amp;基础参数'!$E$5*'模板使用说明&amp;基础参数'!$E$11,I221*'模板使用说明&amp;基础参数'!$E$5*'模板使用说明&amp;基础参数'!$E$10)),IF(J221="中",IF(K221="删除",I221*'模板使用说明&amp;基础参数'!$E$6*'模板使用说明&amp;基础参数'!$E$12,IF(K221="修改",I221*'模板使用说明&amp;基础参数'!$E$6*'模板使用说明&amp;基础参数'!$E$11,I221*'模板使用说明&amp;基础参数'!$E$6*'模板使用说明&amp;基础参数'!$E$10)),IF(K221="删除",I221*'模板使用说明&amp;基础参数'!$E$7*'模板使用说明&amp;基础参数'!$E$12,IF(K221="修改",I221*'模板使用说明&amp;基础参数'!$E$7*'模板使用说明&amp;基础参数'!$E$11,I221*'模板使用说明&amp;基础参数'!$E$7*'模板使用说明&amp;基础参数'!$E$10)))))</f>
        <v>1.86666666666666</v>
      </c>
      <c r="M221" s="95"/>
      <c r="N221" s="99"/>
      <c r="O221" s="100"/>
    </row>
    <row r="222" s="70" customFormat="1" ht="25" customHeight="1" spans="1:15">
      <c r="A222" s="93">
        <v>217</v>
      </c>
      <c r="B222" s="94" t="s">
        <v>72</v>
      </c>
      <c r="C222" s="95" t="s">
        <v>508</v>
      </c>
      <c r="D222" s="95" t="s">
        <v>509</v>
      </c>
      <c r="E222" s="95" t="s">
        <v>509</v>
      </c>
      <c r="F222" s="95" t="s">
        <v>522</v>
      </c>
      <c r="G222" s="95" t="s">
        <v>523</v>
      </c>
      <c r="H222" s="93" t="s">
        <v>81</v>
      </c>
      <c r="I222" s="96">
        <f>IF(H222="ILF",IF($C$1="预估功能点",'模板使用说明&amp;基础参数'!$E$15,7),IF(H222="EIF",IF($C$1="预估功能点",'模板使用说明&amp;基础参数'!$E$16,5),IF(H222="EI",IF($C$1="预估功能点",'模板使用说明&amp;基础参数'!$E$17,'模板使用说明&amp;基础参数'!$E$24),IF(H222="EO",IF($C$1="预估功能点",'模板使用说明&amp;基础参数'!$E$18,'模板使用说明&amp;基础参数'!$E$25),IF(H222="EQ",IF($C$1="预估功能点",'模板使用说明&amp;基础参数'!$E$19,'模板使用说明&amp;基础参数'!$E$26),"")))))</f>
        <v>4</v>
      </c>
      <c r="J222" s="97" t="s">
        <v>38</v>
      </c>
      <c r="K222" s="97" t="s">
        <v>78</v>
      </c>
      <c r="L222" s="98">
        <f>IF(I222="","",IF(J222="高",IF(K222="删除",I222*'模板使用说明&amp;基础参数'!$E$5*'模板使用说明&amp;基础参数'!$E$12,IF(K222="修改",I222*'模板使用说明&amp;基础参数'!$E$5*'模板使用说明&amp;基础参数'!$E$11,I222*'模板使用说明&amp;基础参数'!$E$5*'模板使用说明&amp;基础参数'!$E$10)),IF(J222="中",IF(K222="删除",I222*'模板使用说明&amp;基础参数'!$E$6*'模板使用说明&amp;基础参数'!$E$12,IF(K222="修改",I222*'模板使用说明&amp;基础参数'!$E$6*'模板使用说明&amp;基础参数'!$E$11,I222*'模板使用说明&amp;基础参数'!$E$6*'模板使用说明&amp;基础参数'!$E$10)),IF(K222="删除",I222*'模板使用说明&amp;基础参数'!$E$7*'模板使用说明&amp;基础参数'!$E$12,IF(K222="修改",I222*'模板使用说明&amp;基础参数'!$E$7*'模板使用说明&amp;基础参数'!$E$11,I222*'模板使用说明&amp;基础参数'!$E$7*'模板使用说明&amp;基础参数'!$E$10)))))</f>
        <v>1.06666666666667</v>
      </c>
      <c r="M222" s="95"/>
      <c r="N222" s="99"/>
      <c r="O222" s="100"/>
    </row>
    <row r="223" s="70" customFormat="1" ht="25" customHeight="1" spans="1:15">
      <c r="A223" s="93">
        <v>218</v>
      </c>
      <c r="B223" s="94" t="s">
        <v>72</v>
      </c>
      <c r="C223" s="95" t="s">
        <v>508</v>
      </c>
      <c r="D223" s="95" t="s">
        <v>509</v>
      </c>
      <c r="E223" s="95" t="s">
        <v>509</v>
      </c>
      <c r="F223" s="95" t="s">
        <v>524</v>
      </c>
      <c r="G223" s="95" t="s">
        <v>525</v>
      </c>
      <c r="H223" s="93" t="s">
        <v>84</v>
      </c>
      <c r="I223" s="96">
        <f>IF(H223="ILF",IF($C$1="预估功能点",'模板使用说明&amp;基础参数'!$E$15,7),IF(H223="EIF",IF($C$1="预估功能点",'模板使用说明&amp;基础参数'!$E$16,5),IF(H223="EI",IF($C$1="预估功能点",'模板使用说明&amp;基础参数'!$E$17,'模板使用说明&amp;基础参数'!$E$24),IF(H223="EO",IF($C$1="预估功能点",'模板使用说明&amp;基础参数'!$E$18,'模板使用说明&amp;基础参数'!$E$25),IF(H223="EQ",IF($C$1="预估功能点",'模板使用说明&amp;基础参数'!$E$19,'模板使用说明&amp;基础参数'!$E$26),"")))))</f>
        <v>4</v>
      </c>
      <c r="J223" s="97" t="s">
        <v>38</v>
      </c>
      <c r="K223" s="97" t="s">
        <v>78</v>
      </c>
      <c r="L223" s="98">
        <f>IF(I223="","",IF(J223="高",IF(K223="删除",I223*'模板使用说明&amp;基础参数'!$E$5*'模板使用说明&amp;基础参数'!$E$12,IF(K223="修改",I223*'模板使用说明&amp;基础参数'!$E$5*'模板使用说明&amp;基础参数'!$E$11,I223*'模板使用说明&amp;基础参数'!$E$5*'模板使用说明&amp;基础参数'!$E$10)),IF(J223="中",IF(K223="删除",I223*'模板使用说明&amp;基础参数'!$E$6*'模板使用说明&amp;基础参数'!$E$12,IF(K223="修改",I223*'模板使用说明&amp;基础参数'!$E$6*'模板使用说明&amp;基础参数'!$E$11,I223*'模板使用说明&amp;基础参数'!$E$6*'模板使用说明&amp;基础参数'!$E$10)),IF(K223="删除",I223*'模板使用说明&amp;基础参数'!$E$7*'模板使用说明&amp;基础参数'!$E$12,IF(K223="修改",I223*'模板使用说明&amp;基础参数'!$E$7*'模板使用说明&amp;基础参数'!$E$11,I223*'模板使用说明&amp;基础参数'!$E$7*'模板使用说明&amp;基础参数'!$E$10)))))</f>
        <v>1.06666666666667</v>
      </c>
      <c r="M223" s="95"/>
      <c r="N223" s="99"/>
      <c r="O223" s="100"/>
    </row>
    <row r="224" s="70" customFormat="1" ht="25" customHeight="1" spans="1:15">
      <c r="A224" s="93">
        <v>219</v>
      </c>
      <c r="B224" s="94" t="s">
        <v>72</v>
      </c>
      <c r="C224" s="95" t="s">
        <v>508</v>
      </c>
      <c r="D224" s="95" t="s">
        <v>509</v>
      </c>
      <c r="E224" s="95" t="s">
        <v>509</v>
      </c>
      <c r="F224" s="95" t="s">
        <v>526</v>
      </c>
      <c r="G224" s="95" t="s">
        <v>527</v>
      </c>
      <c r="H224" s="93" t="s">
        <v>84</v>
      </c>
      <c r="I224" s="96">
        <f>IF(H224="ILF",IF($C$1="预估功能点",'模板使用说明&amp;基础参数'!$E$15,7),IF(H224="EIF",IF($C$1="预估功能点",'模板使用说明&amp;基础参数'!$E$16,5),IF(H224="EI",IF($C$1="预估功能点",'模板使用说明&amp;基础参数'!$E$17,'模板使用说明&amp;基础参数'!$E$24),IF(H224="EO",IF($C$1="预估功能点",'模板使用说明&amp;基础参数'!$E$18,'模板使用说明&amp;基础参数'!$E$25),IF(H224="EQ",IF($C$1="预估功能点",'模板使用说明&amp;基础参数'!$E$19,'模板使用说明&amp;基础参数'!$E$26),"")))))</f>
        <v>4</v>
      </c>
      <c r="J224" s="97" t="s">
        <v>38</v>
      </c>
      <c r="K224" s="97" t="s">
        <v>78</v>
      </c>
      <c r="L224" s="98">
        <f>IF(I224="","",IF(J224="高",IF(K224="删除",I224*'模板使用说明&amp;基础参数'!$E$5*'模板使用说明&amp;基础参数'!$E$12,IF(K224="修改",I224*'模板使用说明&amp;基础参数'!$E$5*'模板使用说明&amp;基础参数'!$E$11,I224*'模板使用说明&amp;基础参数'!$E$5*'模板使用说明&amp;基础参数'!$E$10)),IF(J224="中",IF(K224="删除",I224*'模板使用说明&amp;基础参数'!$E$6*'模板使用说明&amp;基础参数'!$E$12,IF(K224="修改",I224*'模板使用说明&amp;基础参数'!$E$6*'模板使用说明&amp;基础参数'!$E$11,I224*'模板使用说明&amp;基础参数'!$E$6*'模板使用说明&amp;基础参数'!$E$10)),IF(K224="删除",I224*'模板使用说明&amp;基础参数'!$E$7*'模板使用说明&amp;基础参数'!$E$12,IF(K224="修改",I224*'模板使用说明&amp;基础参数'!$E$7*'模板使用说明&amp;基础参数'!$E$11,I224*'模板使用说明&amp;基础参数'!$E$7*'模板使用说明&amp;基础参数'!$E$10)))))</f>
        <v>1.06666666666667</v>
      </c>
      <c r="M224" s="95"/>
      <c r="N224" s="99"/>
      <c r="O224" s="100"/>
    </row>
    <row r="225" s="70" customFormat="1" ht="25" customHeight="1" spans="1:15">
      <c r="A225" s="93">
        <v>220</v>
      </c>
      <c r="B225" s="94" t="s">
        <v>72</v>
      </c>
      <c r="C225" s="95" t="s">
        <v>508</v>
      </c>
      <c r="D225" s="95" t="s">
        <v>509</v>
      </c>
      <c r="E225" s="95" t="s">
        <v>509</v>
      </c>
      <c r="F225" s="95" t="s">
        <v>528</v>
      </c>
      <c r="G225" s="95" t="s">
        <v>529</v>
      </c>
      <c r="H225" s="93" t="s">
        <v>84</v>
      </c>
      <c r="I225" s="96">
        <f>IF(H225="ILF",IF($C$1="预估功能点",'模板使用说明&amp;基础参数'!$E$15,7),IF(H225="EIF",IF($C$1="预估功能点",'模板使用说明&amp;基础参数'!$E$16,5),IF(H225="EI",IF($C$1="预估功能点",'模板使用说明&amp;基础参数'!$E$17,'模板使用说明&amp;基础参数'!$E$24),IF(H225="EO",IF($C$1="预估功能点",'模板使用说明&amp;基础参数'!$E$18,'模板使用说明&amp;基础参数'!$E$25),IF(H225="EQ",IF($C$1="预估功能点",'模板使用说明&amp;基础参数'!$E$19,'模板使用说明&amp;基础参数'!$E$26),"")))))</f>
        <v>4</v>
      </c>
      <c r="J225" s="97" t="s">
        <v>38</v>
      </c>
      <c r="K225" s="97" t="s">
        <v>78</v>
      </c>
      <c r="L225" s="98">
        <f>IF(I225="","",IF(J225="高",IF(K225="删除",I225*'模板使用说明&amp;基础参数'!$E$5*'模板使用说明&amp;基础参数'!$E$12,IF(K225="修改",I225*'模板使用说明&amp;基础参数'!$E$5*'模板使用说明&amp;基础参数'!$E$11,I225*'模板使用说明&amp;基础参数'!$E$5*'模板使用说明&amp;基础参数'!$E$10)),IF(J225="中",IF(K225="删除",I225*'模板使用说明&amp;基础参数'!$E$6*'模板使用说明&amp;基础参数'!$E$12,IF(K225="修改",I225*'模板使用说明&amp;基础参数'!$E$6*'模板使用说明&amp;基础参数'!$E$11,I225*'模板使用说明&amp;基础参数'!$E$6*'模板使用说明&amp;基础参数'!$E$10)),IF(K225="删除",I225*'模板使用说明&amp;基础参数'!$E$7*'模板使用说明&amp;基础参数'!$E$12,IF(K225="修改",I225*'模板使用说明&amp;基础参数'!$E$7*'模板使用说明&amp;基础参数'!$E$11,I225*'模板使用说明&amp;基础参数'!$E$7*'模板使用说明&amp;基础参数'!$E$10)))))</f>
        <v>1.06666666666667</v>
      </c>
      <c r="M225" s="95"/>
      <c r="N225" s="99"/>
      <c r="O225" s="100"/>
    </row>
    <row r="226" s="70" customFormat="1" ht="25" customHeight="1" spans="1:15">
      <c r="A226" s="93">
        <v>221</v>
      </c>
      <c r="B226" s="94" t="s">
        <v>72</v>
      </c>
      <c r="C226" s="95" t="s">
        <v>508</v>
      </c>
      <c r="D226" s="95" t="s">
        <v>509</v>
      </c>
      <c r="E226" s="95" t="s">
        <v>509</v>
      </c>
      <c r="F226" s="95" t="s">
        <v>530</v>
      </c>
      <c r="G226" s="95" t="s">
        <v>531</v>
      </c>
      <c r="H226" s="93" t="s">
        <v>77</v>
      </c>
      <c r="I226" s="96">
        <f>IF(H226="ILF",IF($C$1="预估功能点",'模板使用说明&amp;基础参数'!$E$15,7),IF(H226="EIF",IF($C$1="预估功能点",'模板使用说明&amp;基础参数'!$E$16,5),IF(H226="EI",IF($C$1="预估功能点",'模板使用说明&amp;基础参数'!$E$17,'模板使用说明&amp;基础参数'!$E$24),IF(H226="EO",IF($C$1="预估功能点",'模板使用说明&amp;基础参数'!$E$18,'模板使用说明&amp;基础参数'!$E$25),IF(H226="EQ",IF($C$1="预估功能点",'模板使用说明&amp;基础参数'!$E$19,'模板使用说明&amp;基础参数'!$E$26),"")))))</f>
        <v>7</v>
      </c>
      <c r="J226" s="97" t="s">
        <v>38</v>
      </c>
      <c r="K226" s="97" t="s">
        <v>78</v>
      </c>
      <c r="L226" s="98">
        <f>IF(I226="","",IF(J226="高",IF(K226="删除",I226*'模板使用说明&amp;基础参数'!$E$5*'模板使用说明&amp;基础参数'!$E$12,IF(K226="修改",I226*'模板使用说明&amp;基础参数'!$E$5*'模板使用说明&amp;基础参数'!$E$11,I226*'模板使用说明&amp;基础参数'!$E$5*'模板使用说明&amp;基础参数'!$E$10)),IF(J226="中",IF(K226="删除",I226*'模板使用说明&amp;基础参数'!$E$6*'模板使用说明&amp;基础参数'!$E$12,IF(K226="修改",I226*'模板使用说明&amp;基础参数'!$E$6*'模板使用说明&amp;基础参数'!$E$11,I226*'模板使用说明&amp;基础参数'!$E$6*'模板使用说明&amp;基础参数'!$E$10)),IF(K226="删除",I226*'模板使用说明&amp;基础参数'!$E$7*'模板使用说明&amp;基础参数'!$E$12,IF(K226="修改",I226*'模板使用说明&amp;基础参数'!$E$7*'模板使用说明&amp;基础参数'!$E$11,I226*'模板使用说明&amp;基础参数'!$E$7*'模板使用说明&amp;基础参数'!$E$10)))))</f>
        <v>1.86666666666666</v>
      </c>
      <c r="M226" s="95"/>
      <c r="N226" s="99"/>
      <c r="O226" s="100"/>
    </row>
    <row r="227" s="70" customFormat="1" ht="25" customHeight="1" spans="1:15">
      <c r="A227" s="93">
        <v>222</v>
      </c>
      <c r="B227" s="94" t="s">
        <v>72</v>
      </c>
      <c r="C227" s="95" t="s">
        <v>508</v>
      </c>
      <c r="D227" s="95" t="s">
        <v>509</v>
      </c>
      <c r="E227" s="95" t="s">
        <v>509</v>
      </c>
      <c r="F227" s="101" t="s">
        <v>532</v>
      </c>
      <c r="G227" s="95" t="s">
        <v>533</v>
      </c>
      <c r="H227" s="93" t="s">
        <v>81</v>
      </c>
      <c r="I227" s="96">
        <f>IF(H227="ILF",IF($C$1="预估功能点",'模板使用说明&amp;基础参数'!$E$15,7),IF(H227="EIF",IF($C$1="预估功能点",'模板使用说明&amp;基础参数'!$E$16,5),IF(H227="EI",IF($C$1="预估功能点",'模板使用说明&amp;基础参数'!$E$17,'模板使用说明&amp;基础参数'!$E$24),IF(H227="EO",IF($C$1="预估功能点",'模板使用说明&amp;基础参数'!$E$18,'模板使用说明&amp;基础参数'!$E$25),IF(H227="EQ",IF($C$1="预估功能点",'模板使用说明&amp;基础参数'!$E$19,'模板使用说明&amp;基础参数'!$E$26),"")))))</f>
        <v>4</v>
      </c>
      <c r="J227" s="97" t="s">
        <v>38</v>
      </c>
      <c r="K227" s="97" t="s">
        <v>78</v>
      </c>
      <c r="L227" s="98">
        <f>IF(I227="","",IF(J227="高",IF(K227="删除",I227*'模板使用说明&amp;基础参数'!$E$5*'模板使用说明&amp;基础参数'!$E$12,IF(K227="修改",I227*'模板使用说明&amp;基础参数'!$E$5*'模板使用说明&amp;基础参数'!$E$11,I227*'模板使用说明&amp;基础参数'!$E$5*'模板使用说明&amp;基础参数'!$E$10)),IF(J227="中",IF(K227="删除",I227*'模板使用说明&amp;基础参数'!$E$6*'模板使用说明&amp;基础参数'!$E$12,IF(K227="修改",I227*'模板使用说明&amp;基础参数'!$E$6*'模板使用说明&amp;基础参数'!$E$11,I227*'模板使用说明&amp;基础参数'!$E$6*'模板使用说明&amp;基础参数'!$E$10)),IF(K227="删除",I227*'模板使用说明&amp;基础参数'!$E$7*'模板使用说明&amp;基础参数'!$E$12,IF(K227="修改",I227*'模板使用说明&amp;基础参数'!$E$7*'模板使用说明&amp;基础参数'!$E$11,I227*'模板使用说明&amp;基础参数'!$E$7*'模板使用说明&amp;基础参数'!$E$10)))))</f>
        <v>1.06666666666667</v>
      </c>
      <c r="M227" s="95"/>
      <c r="N227" s="99"/>
      <c r="O227" s="100"/>
    </row>
    <row r="228" s="70" customFormat="1" ht="25" customHeight="1" spans="1:15">
      <c r="A228" s="93">
        <v>223</v>
      </c>
      <c r="B228" s="94" t="s">
        <v>72</v>
      </c>
      <c r="C228" s="95" t="s">
        <v>508</v>
      </c>
      <c r="D228" s="95" t="s">
        <v>509</v>
      </c>
      <c r="E228" s="95" t="s">
        <v>509</v>
      </c>
      <c r="F228" s="101" t="s">
        <v>534</v>
      </c>
      <c r="G228" s="95" t="s">
        <v>535</v>
      </c>
      <c r="H228" s="93" t="s">
        <v>84</v>
      </c>
      <c r="I228" s="96">
        <f>IF(H228="ILF",IF($C$1="预估功能点",'模板使用说明&amp;基础参数'!$E$15,7),IF(H228="EIF",IF($C$1="预估功能点",'模板使用说明&amp;基础参数'!$E$16,5),IF(H228="EI",IF($C$1="预估功能点",'模板使用说明&amp;基础参数'!$E$17,'模板使用说明&amp;基础参数'!$E$24),IF(H228="EO",IF($C$1="预估功能点",'模板使用说明&amp;基础参数'!$E$18,'模板使用说明&amp;基础参数'!$E$25),IF(H228="EQ",IF($C$1="预估功能点",'模板使用说明&amp;基础参数'!$E$19,'模板使用说明&amp;基础参数'!$E$26),"")))))</f>
        <v>4</v>
      </c>
      <c r="J228" s="97" t="s">
        <v>38</v>
      </c>
      <c r="K228" s="97" t="s">
        <v>78</v>
      </c>
      <c r="L228" s="98">
        <f>IF(I228="","",IF(J228="高",IF(K228="删除",I228*'模板使用说明&amp;基础参数'!$E$5*'模板使用说明&amp;基础参数'!$E$12,IF(K228="修改",I228*'模板使用说明&amp;基础参数'!$E$5*'模板使用说明&amp;基础参数'!$E$11,I228*'模板使用说明&amp;基础参数'!$E$5*'模板使用说明&amp;基础参数'!$E$10)),IF(J228="中",IF(K228="删除",I228*'模板使用说明&amp;基础参数'!$E$6*'模板使用说明&amp;基础参数'!$E$12,IF(K228="修改",I228*'模板使用说明&amp;基础参数'!$E$6*'模板使用说明&amp;基础参数'!$E$11,I228*'模板使用说明&amp;基础参数'!$E$6*'模板使用说明&amp;基础参数'!$E$10)),IF(K228="删除",I228*'模板使用说明&amp;基础参数'!$E$7*'模板使用说明&amp;基础参数'!$E$12,IF(K228="修改",I228*'模板使用说明&amp;基础参数'!$E$7*'模板使用说明&amp;基础参数'!$E$11,I228*'模板使用说明&amp;基础参数'!$E$7*'模板使用说明&amp;基础参数'!$E$10)))))</f>
        <v>1.06666666666667</v>
      </c>
      <c r="M228" s="95"/>
      <c r="N228" s="99"/>
      <c r="O228" s="100"/>
    </row>
    <row r="229" s="70" customFormat="1" ht="25" customHeight="1" spans="1:15">
      <c r="A229" s="93">
        <v>224</v>
      </c>
      <c r="B229" s="94" t="s">
        <v>72</v>
      </c>
      <c r="C229" s="95" t="s">
        <v>508</v>
      </c>
      <c r="D229" s="95" t="s">
        <v>509</v>
      </c>
      <c r="E229" s="95" t="s">
        <v>509</v>
      </c>
      <c r="F229" s="101" t="s">
        <v>536</v>
      </c>
      <c r="G229" s="95" t="s">
        <v>537</v>
      </c>
      <c r="H229" s="93" t="s">
        <v>84</v>
      </c>
      <c r="I229" s="96">
        <f>IF(H229="ILF",IF($C$1="预估功能点",'模板使用说明&amp;基础参数'!$E$15,7),IF(H229="EIF",IF($C$1="预估功能点",'模板使用说明&amp;基础参数'!$E$16,5),IF(H229="EI",IF($C$1="预估功能点",'模板使用说明&amp;基础参数'!$E$17,'模板使用说明&amp;基础参数'!$E$24),IF(H229="EO",IF($C$1="预估功能点",'模板使用说明&amp;基础参数'!$E$18,'模板使用说明&amp;基础参数'!$E$25),IF(H229="EQ",IF($C$1="预估功能点",'模板使用说明&amp;基础参数'!$E$19,'模板使用说明&amp;基础参数'!$E$26),"")))))</f>
        <v>4</v>
      </c>
      <c r="J229" s="97" t="s">
        <v>38</v>
      </c>
      <c r="K229" s="97" t="s">
        <v>78</v>
      </c>
      <c r="L229" s="98">
        <f>IF(I229="","",IF(J229="高",IF(K229="删除",I229*'模板使用说明&amp;基础参数'!$E$5*'模板使用说明&amp;基础参数'!$E$12,IF(K229="修改",I229*'模板使用说明&amp;基础参数'!$E$5*'模板使用说明&amp;基础参数'!$E$11,I229*'模板使用说明&amp;基础参数'!$E$5*'模板使用说明&amp;基础参数'!$E$10)),IF(J229="中",IF(K229="删除",I229*'模板使用说明&amp;基础参数'!$E$6*'模板使用说明&amp;基础参数'!$E$12,IF(K229="修改",I229*'模板使用说明&amp;基础参数'!$E$6*'模板使用说明&amp;基础参数'!$E$11,I229*'模板使用说明&amp;基础参数'!$E$6*'模板使用说明&amp;基础参数'!$E$10)),IF(K229="删除",I229*'模板使用说明&amp;基础参数'!$E$7*'模板使用说明&amp;基础参数'!$E$12,IF(K229="修改",I229*'模板使用说明&amp;基础参数'!$E$7*'模板使用说明&amp;基础参数'!$E$11,I229*'模板使用说明&amp;基础参数'!$E$7*'模板使用说明&amp;基础参数'!$E$10)))))</f>
        <v>1.06666666666667</v>
      </c>
      <c r="M229" s="95"/>
      <c r="N229" s="99"/>
      <c r="O229" s="100"/>
    </row>
    <row r="230" s="70" customFormat="1" ht="25" customHeight="1" spans="1:15">
      <c r="A230" s="93">
        <v>225</v>
      </c>
      <c r="B230" s="94" t="s">
        <v>72</v>
      </c>
      <c r="C230" s="95" t="s">
        <v>508</v>
      </c>
      <c r="D230" s="95" t="s">
        <v>509</v>
      </c>
      <c r="E230" s="95" t="s">
        <v>509</v>
      </c>
      <c r="F230" s="101" t="s">
        <v>538</v>
      </c>
      <c r="G230" s="95" t="s">
        <v>539</v>
      </c>
      <c r="H230" s="93" t="s">
        <v>84</v>
      </c>
      <c r="I230" s="96">
        <f>IF(H230="ILF",IF($C$1="预估功能点",'模板使用说明&amp;基础参数'!$E$15,7),IF(H230="EIF",IF($C$1="预估功能点",'模板使用说明&amp;基础参数'!$E$16,5),IF(H230="EI",IF($C$1="预估功能点",'模板使用说明&amp;基础参数'!$E$17,'模板使用说明&amp;基础参数'!$E$24),IF(H230="EO",IF($C$1="预估功能点",'模板使用说明&amp;基础参数'!$E$18,'模板使用说明&amp;基础参数'!$E$25),IF(H230="EQ",IF($C$1="预估功能点",'模板使用说明&amp;基础参数'!$E$19,'模板使用说明&amp;基础参数'!$E$26),"")))))</f>
        <v>4</v>
      </c>
      <c r="J230" s="97" t="s">
        <v>38</v>
      </c>
      <c r="K230" s="97" t="s">
        <v>78</v>
      </c>
      <c r="L230" s="98">
        <f>IF(I230="","",IF(J230="高",IF(K230="删除",I230*'模板使用说明&amp;基础参数'!$E$5*'模板使用说明&amp;基础参数'!$E$12,IF(K230="修改",I230*'模板使用说明&amp;基础参数'!$E$5*'模板使用说明&amp;基础参数'!$E$11,I230*'模板使用说明&amp;基础参数'!$E$5*'模板使用说明&amp;基础参数'!$E$10)),IF(J230="中",IF(K230="删除",I230*'模板使用说明&amp;基础参数'!$E$6*'模板使用说明&amp;基础参数'!$E$12,IF(K230="修改",I230*'模板使用说明&amp;基础参数'!$E$6*'模板使用说明&amp;基础参数'!$E$11,I230*'模板使用说明&amp;基础参数'!$E$6*'模板使用说明&amp;基础参数'!$E$10)),IF(K230="删除",I230*'模板使用说明&amp;基础参数'!$E$7*'模板使用说明&amp;基础参数'!$E$12,IF(K230="修改",I230*'模板使用说明&amp;基础参数'!$E$7*'模板使用说明&amp;基础参数'!$E$11,I230*'模板使用说明&amp;基础参数'!$E$7*'模板使用说明&amp;基础参数'!$E$10)))))</f>
        <v>1.06666666666667</v>
      </c>
      <c r="M230" s="95"/>
      <c r="N230" s="99"/>
      <c r="O230" s="100"/>
    </row>
    <row r="231" s="70" customFormat="1" ht="25" customHeight="1" spans="1:15">
      <c r="A231" s="93">
        <v>226</v>
      </c>
      <c r="B231" s="94" t="s">
        <v>72</v>
      </c>
      <c r="C231" s="95" t="s">
        <v>508</v>
      </c>
      <c r="D231" s="95" t="s">
        <v>509</v>
      </c>
      <c r="E231" s="95" t="s">
        <v>509</v>
      </c>
      <c r="F231" s="101" t="s">
        <v>540</v>
      </c>
      <c r="G231" s="95" t="s">
        <v>541</v>
      </c>
      <c r="H231" s="93" t="s">
        <v>77</v>
      </c>
      <c r="I231" s="96">
        <f>IF(H231="ILF",IF($C$1="预估功能点",'模板使用说明&amp;基础参数'!$E$15,7),IF(H231="EIF",IF($C$1="预估功能点",'模板使用说明&amp;基础参数'!$E$16,5),IF(H231="EI",IF($C$1="预估功能点",'模板使用说明&amp;基础参数'!$E$17,'模板使用说明&amp;基础参数'!$E$24),IF(H231="EO",IF($C$1="预估功能点",'模板使用说明&amp;基础参数'!$E$18,'模板使用说明&amp;基础参数'!$E$25),IF(H231="EQ",IF($C$1="预估功能点",'模板使用说明&amp;基础参数'!$E$19,'模板使用说明&amp;基础参数'!$E$26),"")))))</f>
        <v>7</v>
      </c>
      <c r="J231" s="97" t="s">
        <v>38</v>
      </c>
      <c r="K231" s="97" t="s">
        <v>78</v>
      </c>
      <c r="L231" s="98">
        <f>IF(I231="","",IF(J231="高",IF(K231="删除",I231*'模板使用说明&amp;基础参数'!$E$5*'模板使用说明&amp;基础参数'!$E$12,IF(K231="修改",I231*'模板使用说明&amp;基础参数'!$E$5*'模板使用说明&amp;基础参数'!$E$11,I231*'模板使用说明&amp;基础参数'!$E$5*'模板使用说明&amp;基础参数'!$E$10)),IF(J231="中",IF(K231="删除",I231*'模板使用说明&amp;基础参数'!$E$6*'模板使用说明&amp;基础参数'!$E$12,IF(K231="修改",I231*'模板使用说明&amp;基础参数'!$E$6*'模板使用说明&amp;基础参数'!$E$11,I231*'模板使用说明&amp;基础参数'!$E$6*'模板使用说明&amp;基础参数'!$E$10)),IF(K231="删除",I231*'模板使用说明&amp;基础参数'!$E$7*'模板使用说明&amp;基础参数'!$E$12,IF(K231="修改",I231*'模板使用说明&amp;基础参数'!$E$7*'模板使用说明&amp;基础参数'!$E$11,I231*'模板使用说明&amp;基础参数'!$E$7*'模板使用说明&amp;基础参数'!$E$10)))))</f>
        <v>1.86666666666666</v>
      </c>
      <c r="M231" s="95"/>
      <c r="N231" s="99"/>
      <c r="O231" s="100"/>
    </row>
    <row r="232" s="70" customFormat="1" ht="25" customHeight="1" spans="1:15">
      <c r="A232" s="93">
        <v>227</v>
      </c>
      <c r="B232" s="94" t="s">
        <v>72</v>
      </c>
      <c r="C232" s="95" t="s">
        <v>508</v>
      </c>
      <c r="D232" s="95" t="s">
        <v>509</v>
      </c>
      <c r="E232" s="95" t="s">
        <v>509</v>
      </c>
      <c r="F232" s="95" t="s">
        <v>542</v>
      </c>
      <c r="G232" s="95" t="s">
        <v>543</v>
      </c>
      <c r="H232" s="93" t="s">
        <v>81</v>
      </c>
      <c r="I232" s="96">
        <f>IF(H232="ILF",IF($C$1="预估功能点",'模板使用说明&amp;基础参数'!$E$15,7),IF(H232="EIF",IF($C$1="预估功能点",'模板使用说明&amp;基础参数'!$E$16,5),IF(H232="EI",IF($C$1="预估功能点",'模板使用说明&amp;基础参数'!$E$17,'模板使用说明&amp;基础参数'!$E$24),IF(H232="EO",IF($C$1="预估功能点",'模板使用说明&amp;基础参数'!$E$18,'模板使用说明&amp;基础参数'!$E$25),IF(H232="EQ",IF($C$1="预估功能点",'模板使用说明&amp;基础参数'!$E$19,'模板使用说明&amp;基础参数'!$E$26),"")))))</f>
        <v>4</v>
      </c>
      <c r="J232" s="97" t="s">
        <v>38</v>
      </c>
      <c r="K232" s="97" t="s">
        <v>78</v>
      </c>
      <c r="L232" s="98">
        <f>IF(I232="","",IF(J232="高",IF(K232="删除",I232*'模板使用说明&amp;基础参数'!$E$5*'模板使用说明&amp;基础参数'!$E$12,IF(K232="修改",I232*'模板使用说明&amp;基础参数'!$E$5*'模板使用说明&amp;基础参数'!$E$11,I232*'模板使用说明&amp;基础参数'!$E$5*'模板使用说明&amp;基础参数'!$E$10)),IF(J232="中",IF(K232="删除",I232*'模板使用说明&amp;基础参数'!$E$6*'模板使用说明&amp;基础参数'!$E$12,IF(K232="修改",I232*'模板使用说明&amp;基础参数'!$E$6*'模板使用说明&amp;基础参数'!$E$11,I232*'模板使用说明&amp;基础参数'!$E$6*'模板使用说明&amp;基础参数'!$E$10)),IF(K232="删除",I232*'模板使用说明&amp;基础参数'!$E$7*'模板使用说明&amp;基础参数'!$E$12,IF(K232="修改",I232*'模板使用说明&amp;基础参数'!$E$7*'模板使用说明&amp;基础参数'!$E$11,I232*'模板使用说明&amp;基础参数'!$E$7*'模板使用说明&amp;基础参数'!$E$10)))))</f>
        <v>1.06666666666667</v>
      </c>
      <c r="M232" s="95"/>
      <c r="N232" s="99"/>
      <c r="O232" s="100"/>
    </row>
    <row r="233" s="70" customFormat="1" ht="25" customHeight="1" spans="1:15">
      <c r="A233" s="93">
        <v>228</v>
      </c>
      <c r="B233" s="94" t="s">
        <v>72</v>
      </c>
      <c r="C233" s="95" t="s">
        <v>508</v>
      </c>
      <c r="D233" s="95" t="s">
        <v>509</v>
      </c>
      <c r="E233" s="95" t="s">
        <v>509</v>
      </c>
      <c r="F233" s="95" t="s">
        <v>544</v>
      </c>
      <c r="G233" s="95" t="s">
        <v>545</v>
      </c>
      <c r="H233" s="93" t="s">
        <v>84</v>
      </c>
      <c r="I233" s="96">
        <f>IF(H233="ILF",IF($C$1="预估功能点",'模板使用说明&amp;基础参数'!$E$15,7),IF(H233="EIF",IF($C$1="预估功能点",'模板使用说明&amp;基础参数'!$E$16,5),IF(H233="EI",IF($C$1="预估功能点",'模板使用说明&amp;基础参数'!$E$17,'模板使用说明&amp;基础参数'!$E$24),IF(H233="EO",IF($C$1="预估功能点",'模板使用说明&amp;基础参数'!$E$18,'模板使用说明&amp;基础参数'!$E$25),IF(H233="EQ",IF($C$1="预估功能点",'模板使用说明&amp;基础参数'!$E$19,'模板使用说明&amp;基础参数'!$E$26),"")))))</f>
        <v>4</v>
      </c>
      <c r="J233" s="97" t="s">
        <v>38</v>
      </c>
      <c r="K233" s="97" t="s">
        <v>78</v>
      </c>
      <c r="L233" s="98">
        <f>IF(I233="","",IF(J233="高",IF(K233="删除",I233*'模板使用说明&amp;基础参数'!$E$5*'模板使用说明&amp;基础参数'!$E$12,IF(K233="修改",I233*'模板使用说明&amp;基础参数'!$E$5*'模板使用说明&amp;基础参数'!$E$11,I233*'模板使用说明&amp;基础参数'!$E$5*'模板使用说明&amp;基础参数'!$E$10)),IF(J233="中",IF(K233="删除",I233*'模板使用说明&amp;基础参数'!$E$6*'模板使用说明&amp;基础参数'!$E$12,IF(K233="修改",I233*'模板使用说明&amp;基础参数'!$E$6*'模板使用说明&amp;基础参数'!$E$11,I233*'模板使用说明&amp;基础参数'!$E$6*'模板使用说明&amp;基础参数'!$E$10)),IF(K233="删除",I233*'模板使用说明&amp;基础参数'!$E$7*'模板使用说明&amp;基础参数'!$E$12,IF(K233="修改",I233*'模板使用说明&amp;基础参数'!$E$7*'模板使用说明&amp;基础参数'!$E$11,I233*'模板使用说明&amp;基础参数'!$E$7*'模板使用说明&amp;基础参数'!$E$10)))))</f>
        <v>1.06666666666667</v>
      </c>
      <c r="M233" s="95"/>
      <c r="N233" s="99"/>
      <c r="O233" s="100"/>
    </row>
    <row r="234" s="70" customFormat="1" ht="25" customHeight="1" spans="1:15">
      <c r="A234" s="93">
        <v>229</v>
      </c>
      <c r="B234" s="94" t="s">
        <v>72</v>
      </c>
      <c r="C234" s="95" t="s">
        <v>508</v>
      </c>
      <c r="D234" s="95" t="s">
        <v>509</v>
      </c>
      <c r="E234" s="95" t="s">
        <v>509</v>
      </c>
      <c r="F234" s="95" t="s">
        <v>546</v>
      </c>
      <c r="G234" s="95" t="s">
        <v>547</v>
      </c>
      <c r="H234" s="93" t="s">
        <v>84</v>
      </c>
      <c r="I234" s="96">
        <f>IF(H234="ILF",IF($C$1="预估功能点",'模板使用说明&amp;基础参数'!$E$15,7),IF(H234="EIF",IF($C$1="预估功能点",'模板使用说明&amp;基础参数'!$E$16,5),IF(H234="EI",IF($C$1="预估功能点",'模板使用说明&amp;基础参数'!$E$17,'模板使用说明&amp;基础参数'!$E$24),IF(H234="EO",IF($C$1="预估功能点",'模板使用说明&amp;基础参数'!$E$18,'模板使用说明&amp;基础参数'!$E$25),IF(H234="EQ",IF($C$1="预估功能点",'模板使用说明&amp;基础参数'!$E$19,'模板使用说明&amp;基础参数'!$E$26),"")))))</f>
        <v>4</v>
      </c>
      <c r="J234" s="97" t="s">
        <v>38</v>
      </c>
      <c r="K234" s="97" t="s">
        <v>78</v>
      </c>
      <c r="L234" s="98">
        <f>IF(I234="","",IF(J234="高",IF(K234="删除",I234*'模板使用说明&amp;基础参数'!$E$5*'模板使用说明&amp;基础参数'!$E$12,IF(K234="修改",I234*'模板使用说明&amp;基础参数'!$E$5*'模板使用说明&amp;基础参数'!$E$11,I234*'模板使用说明&amp;基础参数'!$E$5*'模板使用说明&amp;基础参数'!$E$10)),IF(J234="中",IF(K234="删除",I234*'模板使用说明&amp;基础参数'!$E$6*'模板使用说明&amp;基础参数'!$E$12,IF(K234="修改",I234*'模板使用说明&amp;基础参数'!$E$6*'模板使用说明&amp;基础参数'!$E$11,I234*'模板使用说明&amp;基础参数'!$E$6*'模板使用说明&amp;基础参数'!$E$10)),IF(K234="删除",I234*'模板使用说明&amp;基础参数'!$E$7*'模板使用说明&amp;基础参数'!$E$12,IF(K234="修改",I234*'模板使用说明&amp;基础参数'!$E$7*'模板使用说明&amp;基础参数'!$E$11,I234*'模板使用说明&amp;基础参数'!$E$7*'模板使用说明&amp;基础参数'!$E$10)))))</f>
        <v>1.06666666666667</v>
      </c>
      <c r="M234" s="95"/>
      <c r="N234" s="99"/>
      <c r="O234" s="100"/>
    </row>
    <row r="235" s="70" customFormat="1" ht="25" customHeight="1" spans="1:15">
      <c r="A235" s="93">
        <v>230</v>
      </c>
      <c r="B235" s="94" t="s">
        <v>72</v>
      </c>
      <c r="C235" s="95" t="s">
        <v>508</v>
      </c>
      <c r="D235" s="95" t="s">
        <v>509</v>
      </c>
      <c r="E235" s="95" t="s">
        <v>509</v>
      </c>
      <c r="F235" s="95" t="s">
        <v>548</v>
      </c>
      <c r="G235" s="95" t="s">
        <v>549</v>
      </c>
      <c r="H235" s="93" t="s">
        <v>84</v>
      </c>
      <c r="I235" s="96">
        <f>IF(H235="ILF",IF($C$1="预估功能点",'模板使用说明&amp;基础参数'!$E$15,7),IF(H235="EIF",IF($C$1="预估功能点",'模板使用说明&amp;基础参数'!$E$16,5),IF(H235="EI",IF($C$1="预估功能点",'模板使用说明&amp;基础参数'!$E$17,'模板使用说明&amp;基础参数'!$E$24),IF(H235="EO",IF($C$1="预估功能点",'模板使用说明&amp;基础参数'!$E$18,'模板使用说明&amp;基础参数'!$E$25),IF(H235="EQ",IF($C$1="预估功能点",'模板使用说明&amp;基础参数'!$E$19,'模板使用说明&amp;基础参数'!$E$26),"")))))</f>
        <v>4</v>
      </c>
      <c r="J235" s="97" t="s">
        <v>38</v>
      </c>
      <c r="K235" s="97" t="s">
        <v>78</v>
      </c>
      <c r="L235" s="98">
        <f>IF(I235="","",IF(J235="高",IF(K235="删除",I235*'模板使用说明&amp;基础参数'!$E$5*'模板使用说明&amp;基础参数'!$E$12,IF(K235="修改",I235*'模板使用说明&amp;基础参数'!$E$5*'模板使用说明&amp;基础参数'!$E$11,I235*'模板使用说明&amp;基础参数'!$E$5*'模板使用说明&amp;基础参数'!$E$10)),IF(J235="中",IF(K235="删除",I235*'模板使用说明&amp;基础参数'!$E$6*'模板使用说明&amp;基础参数'!$E$12,IF(K235="修改",I235*'模板使用说明&amp;基础参数'!$E$6*'模板使用说明&amp;基础参数'!$E$11,I235*'模板使用说明&amp;基础参数'!$E$6*'模板使用说明&amp;基础参数'!$E$10)),IF(K235="删除",I235*'模板使用说明&amp;基础参数'!$E$7*'模板使用说明&amp;基础参数'!$E$12,IF(K235="修改",I235*'模板使用说明&amp;基础参数'!$E$7*'模板使用说明&amp;基础参数'!$E$11,I235*'模板使用说明&amp;基础参数'!$E$7*'模板使用说明&amp;基础参数'!$E$10)))))</f>
        <v>1.06666666666667</v>
      </c>
      <c r="M235" s="95"/>
      <c r="N235" s="99"/>
      <c r="O235" s="100"/>
    </row>
    <row r="236" s="70" customFormat="1" ht="25" customHeight="1" spans="1:15">
      <c r="A236" s="93">
        <v>231</v>
      </c>
      <c r="B236" s="94" t="s">
        <v>72</v>
      </c>
      <c r="C236" s="95" t="s">
        <v>508</v>
      </c>
      <c r="D236" s="95" t="s">
        <v>509</v>
      </c>
      <c r="E236" s="95" t="s">
        <v>509</v>
      </c>
      <c r="F236" s="95" t="s">
        <v>550</v>
      </c>
      <c r="G236" s="95" t="s">
        <v>551</v>
      </c>
      <c r="H236" s="93" t="s">
        <v>77</v>
      </c>
      <c r="I236" s="96">
        <f>IF(H236="ILF",IF($C$1="预估功能点",'模板使用说明&amp;基础参数'!$E$15,7),IF(H236="EIF",IF($C$1="预估功能点",'模板使用说明&amp;基础参数'!$E$16,5),IF(H236="EI",IF($C$1="预估功能点",'模板使用说明&amp;基础参数'!$E$17,'模板使用说明&amp;基础参数'!$E$24),IF(H236="EO",IF($C$1="预估功能点",'模板使用说明&amp;基础参数'!$E$18,'模板使用说明&amp;基础参数'!$E$25),IF(H236="EQ",IF($C$1="预估功能点",'模板使用说明&amp;基础参数'!$E$19,'模板使用说明&amp;基础参数'!$E$26),"")))))</f>
        <v>7</v>
      </c>
      <c r="J236" s="97" t="s">
        <v>38</v>
      </c>
      <c r="K236" s="97" t="s">
        <v>78</v>
      </c>
      <c r="L236" s="98">
        <f>IF(I236="","",IF(J236="高",IF(K236="删除",I236*'模板使用说明&amp;基础参数'!$E$5*'模板使用说明&amp;基础参数'!$E$12,IF(K236="修改",I236*'模板使用说明&amp;基础参数'!$E$5*'模板使用说明&amp;基础参数'!$E$11,I236*'模板使用说明&amp;基础参数'!$E$5*'模板使用说明&amp;基础参数'!$E$10)),IF(J236="中",IF(K236="删除",I236*'模板使用说明&amp;基础参数'!$E$6*'模板使用说明&amp;基础参数'!$E$12,IF(K236="修改",I236*'模板使用说明&amp;基础参数'!$E$6*'模板使用说明&amp;基础参数'!$E$11,I236*'模板使用说明&amp;基础参数'!$E$6*'模板使用说明&amp;基础参数'!$E$10)),IF(K236="删除",I236*'模板使用说明&amp;基础参数'!$E$7*'模板使用说明&amp;基础参数'!$E$12,IF(K236="修改",I236*'模板使用说明&amp;基础参数'!$E$7*'模板使用说明&amp;基础参数'!$E$11,I236*'模板使用说明&amp;基础参数'!$E$7*'模板使用说明&amp;基础参数'!$E$10)))))</f>
        <v>1.86666666666666</v>
      </c>
      <c r="M236" s="95"/>
      <c r="N236" s="99"/>
      <c r="O236" s="100"/>
    </row>
    <row r="237" s="70" customFormat="1" ht="25" customHeight="1" spans="1:15">
      <c r="A237" s="93">
        <v>232</v>
      </c>
      <c r="B237" s="94" t="s">
        <v>72</v>
      </c>
      <c r="C237" s="95" t="s">
        <v>508</v>
      </c>
      <c r="D237" s="95" t="s">
        <v>509</v>
      </c>
      <c r="E237" s="95" t="s">
        <v>509</v>
      </c>
      <c r="F237" s="95" t="s">
        <v>552</v>
      </c>
      <c r="G237" s="95" t="s">
        <v>553</v>
      </c>
      <c r="H237" s="93" t="s">
        <v>81</v>
      </c>
      <c r="I237" s="96">
        <f>IF(H237="ILF",IF($C$1="预估功能点",'模板使用说明&amp;基础参数'!$E$15,7),IF(H237="EIF",IF($C$1="预估功能点",'模板使用说明&amp;基础参数'!$E$16,5),IF(H237="EI",IF($C$1="预估功能点",'模板使用说明&amp;基础参数'!$E$17,'模板使用说明&amp;基础参数'!$E$24),IF(H237="EO",IF($C$1="预估功能点",'模板使用说明&amp;基础参数'!$E$18,'模板使用说明&amp;基础参数'!$E$25),IF(H237="EQ",IF($C$1="预估功能点",'模板使用说明&amp;基础参数'!$E$19,'模板使用说明&amp;基础参数'!$E$26),"")))))</f>
        <v>4</v>
      </c>
      <c r="J237" s="97" t="s">
        <v>38</v>
      </c>
      <c r="K237" s="97" t="s">
        <v>78</v>
      </c>
      <c r="L237" s="98">
        <f>IF(I237="","",IF(J237="高",IF(K237="删除",I237*'模板使用说明&amp;基础参数'!$E$5*'模板使用说明&amp;基础参数'!$E$12,IF(K237="修改",I237*'模板使用说明&amp;基础参数'!$E$5*'模板使用说明&amp;基础参数'!$E$11,I237*'模板使用说明&amp;基础参数'!$E$5*'模板使用说明&amp;基础参数'!$E$10)),IF(J237="中",IF(K237="删除",I237*'模板使用说明&amp;基础参数'!$E$6*'模板使用说明&amp;基础参数'!$E$12,IF(K237="修改",I237*'模板使用说明&amp;基础参数'!$E$6*'模板使用说明&amp;基础参数'!$E$11,I237*'模板使用说明&amp;基础参数'!$E$6*'模板使用说明&amp;基础参数'!$E$10)),IF(K237="删除",I237*'模板使用说明&amp;基础参数'!$E$7*'模板使用说明&amp;基础参数'!$E$12,IF(K237="修改",I237*'模板使用说明&amp;基础参数'!$E$7*'模板使用说明&amp;基础参数'!$E$11,I237*'模板使用说明&amp;基础参数'!$E$7*'模板使用说明&amp;基础参数'!$E$10)))))</f>
        <v>1.06666666666667</v>
      </c>
      <c r="M237" s="95"/>
      <c r="N237" s="99"/>
      <c r="O237" s="100"/>
    </row>
    <row r="238" s="70" customFormat="1" ht="25" customHeight="1" spans="1:15">
      <c r="A238" s="93">
        <v>233</v>
      </c>
      <c r="B238" s="94" t="s">
        <v>72</v>
      </c>
      <c r="C238" s="95" t="s">
        <v>508</v>
      </c>
      <c r="D238" s="95" t="s">
        <v>509</v>
      </c>
      <c r="E238" s="95" t="s">
        <v>509</v>
      </c>
      <c r="F238" s="95" t="s">
        <v>554</v>
      </c>
      <c r="G238" s="95" t="s">
        <v>555</v>
      </c>
      <c r="H238" s="93" t="s">
        <v>84</v>
      </c>
      <c r="I238" s="96">
        <f>IF(H238="ILF",IF($C$1="预估功能点",'模板使用说明&amp;基础参数'!$E$15,7),IF(H238="EIF",IF($C$1="预估功能点",'模板使用说明&amp;基础参数'!$E$16,5),IF(H238="EI",IF($C$1="预估功能点",'模板使用说明&amp;基础参数'!$E$17,'模板使用说明&amp;基础参数'!$E$24),IF(H238="EO",IF($C$1="预估功能点",'模板使用说明&amp;基础参数'!$E$18,'模板使用说明&amp;基础参数'!$E$25),IF(H238="EQ",IF($C$1="预估功能点",'模板使用说明&amp;基础参数'!$E$19,'模板使用说明&amp;基础参数'!$E$26),"")))))</f>
        <v>4</v>
      </c>
      <c r="J238" s="97" t="s">
        <v>38</v>
      </c>
      <c r="K238" s="97" t="s">
        <v>78</v>
      </c>
      <c r="L238" s="98">
        <f>IF(I238="","",IF(J238="高",IF(K238="删除",I238*'模板使用说明&amp;基础参数'!$E$5*'模板使用说明&amp;基础参数'!$E$12,IF(K238="修改",I238*'模板使用说明&amp;基础参数'!$E$5*'模板使用说明&amp;基础参数'!$E$11,I238*'模板使用说明&amp;基础参数'!$E$5*'模板使用说明&amp;基础参数'!$E$10)),IF(J238="中",IF(K238="删除",I238*'模板使用说明&amp;基础参数'!$E$6*'模板使用说明&amp;基础参数'!$E$12,IF(K238="修改",I238*'模板使用说明&amp;基础参数'!$E$6*'模板使用说明&amp;基础参数'!$E$11,I238*'模板使用说明&amp;基础参数'!$E$6*'模板使用说明&amp;基础参数'!$E$10)),IF(K238="删除",I238*'模板使用说明&amp;基础参数'!$E$7*'模板使用说明&amp;基础参数'!$E$12,IF(K238="修改",I238*'模板使用说明&amp;基础参数'!$E$7*'模板使用说明&amp;基础参数'!$E$11,I238*'模板使用说明&amp;基础参数'!$E$7*'模板使用说明&amp;基础参数'!$E$10)))))</f>
        <v>1.06666666666667</v>
      </c>
      <c r="M238" s="95"/>
      <c r="N238" s="99"/>
      <c r="O238" s="100"/>
    </row>
    <row r="239" s="70" customFormat="1" ht="25" customHeight="1" spans="1:15">
      <c r="A239" s="93">
        <v>234</v>
      </c>
      <c r="B239" s="94" t="s">
        <v>72</v>
      </c>
      <c r="C239" s="95" t="s">
        <v>508</v>
      </c>
      <c r="D239" s="95" t="s">
        <v>509</v>
      </c>
      <c r="E239" s="95" t="s">
        <v>509</v>
      </c>
      <c r="F239" s="95" t="s">
        <v>556</v>
      </c>
      <c r="G239" s="95" t="s">
        <v>557</v>
      </c>
      <c r="H239" s="93" t="s">
        <v>84</v>
      </c>
      <c r="I239" s="96">
        <f>IF(H239="ILF",IF($C$1="预估功能点",'模板使用说明&amp;基础参数'!$E$15,7),IF(H239="EIF",IF($C$1="预估功能点",'模板使用说明&amp;基础参数'!$E$16,5),IF(H239="EI",IF($C$1="预估功能点",'模板使用说明&amp;基础参数'!$E$17,'模板使用说明&amp;基础参数'!$E$24),IF(H239="EO",IF($C$1="预估功能点",'模板使用说明&amp;基础参数'!$E$18,'模板使用说明&amp;基础参数'!$E$25),IF(H239="EQ",IF($C$1="预估功能点",'模板使用说明&amp;基础参数'!$E$19,'模板使用说明&amp;基础参数'!$E$26),"")))))</f>
        <v>4</v>
      </c>
      <c r="J239" s="97" t="s">
        <v>38</v>
      </c>
      <c r="K239" s="97" t="s">
        <v>78</v>
      </c>
      <c r="L239" s="98">
        <f>IF(I239="","",IF(J239="高",IF(K239="删除",I239*'模板使用说明&amp;基础参数'!$E$5*'模板使用说明&amp;基础参数'!$E$12,IF(K239="修改",I239*'模板使用说明&amp;基础参数'!$E$5*'模板使用说明&amp;基础参数'!$E$11,I239*'模板使用说明&amp;基础参数'!$E$5*'模板使用说明&amp;基础参数'!$E$10)),IF(J239="中",IF(K239="删除",I239*'模板使用说明&amp;基础参数'!$E$6*'模板使用说明&amp;基础参数'!$E$12,IF(K239="修改",I239*'模板使用说明&amp;基础参数'!$E$6*'模板使用说明&amp;基础参数'!$E$11,I239*'模板使用说明&amp;基础参数'!$E$6*'模板使用说明&amp;基础参数'!$E$10)),IF(K239="删除",I239*'模板使用说明&amp;基础参数'!$E$7*'模板使用说明&amp;基础参数'!$E$12,IF(K239="修改",I239*'模板使用说明&amp;基础参数'!$E$7*'模板使用说明&amp;基础参数'!$E$11,I239*'模板使用说明&amp;基础参数'!$E$7*'模板使用说明&amp;基础参数'!$E$10)))))</f>
        <v>1.06666666666667</v>
      </c>
      <c r="M239" s="95"/>
      <c r="N239" s="99"/>
      <c r="O239" s="100"/>
    </row>
    <row r="240" s="70" customFormat="1" ht="25" customHeight="1" spans="1:15">
      <c r="A240" s="93">
        <v>235</v>
      </c>
      <c r="B240" s="94" t="s">
        <v>72</v>
      </c>
      <c r="C240" s="95" t="s">
        <v>508</v>
      </c>
      <c r="D240" s="95" t="s">
        <v>509</v>
      </c>
      <c r="E240" s="95" t="s">
        <v>509</v>
      </c>
      <c r="F240" s="95" t="s">
        <v>558</v>
      </c>
      <c r="G240" s="95" t="s">
        <v>559</v>
      </c>
      <c r="H240" s="93" t="s">
        <v>84</v>
      </c>
      <c r="I240" s="96">
        <f>IF(H240="ILF",IF($C$1="预估功能点",'模板使用说明&amp;基础参数'!$E$15,7),IF(H240="EIF",IF($C$1="预估功能点",'模板使用说明&amp;基础参数'!$E$16,5),IF(H240="EI",IF($C$1="预估功能点",'模板使用说明&amp;基础参数'!$E$17,'模板使用说明&amp;基础参数'!$E$24),IF(H240="EO",IF($C$1="预估功能点",'模板使用说明&amp;基础参数'!$E$18,'模板使用说明&amp;基础参数'!$E$25),IF(H240="EQ",IF($C$1="预估功能点",'模板使用说明&amp;基础参数'!$E$19,'模板使用说明&amp;基础参数'!$E$26),"")))))</f>
        <v>4</v>
      </c>
      <c r="J240" s="97" t="s">
        <v>38</v>
      </c>
      <c r="K240" s="97" t="s">
        <v>78</v>
      </c>
      <c r="L240" s="98">
        <f>IF(I240="","",IF(J240="高",IF(K240="删除",I240*'模板使用说明&amp;基础参数'!$E$5*'模板使用说明&amp;基础参数'!$E$12,IF(K240="修改",I240*'模板使用说明&amp;基础参数'!$E$5*'模板使用说明&amp;基础参数'!$E$11,I240*'模板使用说明&amp;基础参数'!$E$5*'模板使用说明&amp;基础参数'!$E$10)),IF(J240="中",IF(K240="删除",I240*'模板使用说明&amp;基础参数'!$E$6*'模板使用说明&amp;基础参数'!$E$12,IF(K240="修改",I240*'模板使用说明&amp;基础参数'!$E$6*'模板使用说明&amp;基础参数'!$E$11,I240*'模板使用说明&amp;基础参数'!$E$6*'模板使用说明&amp;基础参数'!$E$10)),IF(K240="删除",I240*'模板使用说明&amp;基础参数'!$E$7*'模板使用说明&amp;基础参数'!$E$12,IF(K240="修改",I240*'模板使用说明&amp;基础参数'!$E$7*'模板使用说明&amp;基础参数'!$E$11,I240*'模板使用说明&amp;基础参数'!$E$7*'模板使用说明&amp;基础参数'!$E$10)))))</f>
        <v>1.06666666666667</v>
      </c>
      <c r="M240" s="95"/>
      <c r="N240" s="99"/>
      <c r="O240" s="100"/>
    </row>
    <row r="241" s="70" customFormat="1" ht="25" customHeight="1" spans="1:15">
      <c r="A241" s="93">
        <v>236</v>
      </c>
      <c r="B241" s="94" t="s">
        <v>72</v>
      </c>
      <c r="C241" s="95" t="s">
        <v>73</v>
      </c>
      <c r="D241" s="95" t="s">
        <v>74</v>
      </c>
      <c r="E241" s="95" t="s">
        <v>74</v>
      </c>
      <c r="F241" s="95" t="s">
        <v>560</v>
      </c>
      <c r="G241" s="95" t="s">
        <v>561</v>
      </c>
      <c r="H241" s="93" t="s">
        <v>77</v>
      </c>
      <c r="I241" s="96">
        <f>IF(H241="ILF",IF($C$1="预估功能点",'模板使用说明&amp;基础参数'!$E$15,7),IF(H241="EIF",IF($C$1="预估功能点",'模板使用说明&amp;基础参数'!$E$16,5),IF(H241="EI",IF($C$1="预估功能点",'模板使用说明&amp;基础参数'!$E$17,'模板使用说明&amp;基础参数'!$E$24),IF(H241="EO",IF($C$1="预估功能点",'模板使用说明&amp;基础参数'!$E$18,'模板使用说明&amp;基础参数'!$E$25),IF(H241="EQ",IF($C$1="预估功能点",'模板使用说明&amp;基础参数'!$E$19,'模板使用说明&amp;基础参数'!$E$26),"")))))</f>
        <v>7</v>
      </c>
      <c r="J241" s="97" t="s">
        <v>38</v>
      </c>
      <c r="K241" s="97" t="s">
        <v>78</v>
      </c>
      <c r="L241" s="98">
        <f>IF(I241="","",IF(J241="高",IF(K241="删除",I241*'模板使用说明&amp;基础参数'!$E$5*'模板使用说明&amp;基础参数'!$E$12,IF(K241="修改",I241*'模板使用说明&amp;基础参数'!$E$5*'模板使用说明&amp;基础参数'!$E$11,I241*'模板使用说明&amp;基础参数'!$E$5*'模板使用说明&amp;基础参数'!$E$10)),IF(J241="中",IF(K241="删除",I241*'模板使用说明&amp;基础参数'!$E$6*'模板使用说明&amp;基础参数'!$E$12,IF(K241="修改",I241*'模板使用说明&amp;基础参数'!$E$6*'模板使用说明&amp;基础参数'!$E$11,I241*'模板使用说明&amp;基础参数'!$E$6*'模板使用说明&amp;基础参数'!$E$10)),IF(K241="删除",I241*'模板使用说明&amp;基础参数'!$E$7*'模板使用说明&amp;基础参数'!$E$12,IF(K241="修改",I241*'模板使用说明&amp;基础参数'!$E$7*'模板使用说明&amp;基础参数'!$E$11,I241*'模板使用说明&amp;基础参数'!$E$7*'模板使用说明&amp;基础参数'!$E$10)))))</f>
        <v>1.86666666666666</v>
      </c>
      <c r="M241" s="95"/>
      <c r="N241" s="99"/>
      <c r="O241" s="100"/>
    </row>
    <row r="242" s="70" customFormat="1" ht="25" customHeight="1" spans="1:15">
      <c r="A242" s="93">
        <v>237</v>
      </c>
      <c r="B242" s="94" t="s">
        <v>72</v>
      </c>
      <c r="C242" s="95" t="s">
        <v>73</v>
      </c>
      <c r="D242" s="95" t="s">
        <v>74</v>
      </c>
      <c r="E242" s="95" t="s">
        <v>74</v>
      </c>
      <c r="F242" s="95" t="s">
        <v>562</v>
      </c>
      <c r="G242" s="95" t="s">
        <v>563</v>
      </c>
      <c r="H242" s="93" t="s">
        <v>81</v>
      </c>
      <c r="I242" s="96">
        <f>IF(H242="ILF",IF($C$1="预估功能点",'模板使用说明&amp;基础参数'!$E$15,7),IF(H242="EIF",IF($C$1="预估功能点",'模板使用说明&amp;基础参数'!$E$16,5),IF(H242="EI",IF($C$1="预估功能点",'模板使用说明&amp;基础参数'!$E$17,'模板使用说明&amp;基础参数'!$E$24),IF(H242="EO",IF($C$1="预估功能点",'模板使用说明&amp;基础参数'!$E$18,'模板使用说明&amp;基础参数'!$E$25),IF(H242="EQ",IF($C$1="预估功能点",'模板使用说明&amp;基础参数'!$E$19,'模板使用说明&amp;基础参数'!$E$26),"")))))</f>
        <v>4</v>
      </c>
      <c r="J242" s="97" t="s">
        <v>38</v>
      </c>
      <c r="K242" s="97" t="s">
        <v>78</v>
      </c>
      <c r="L242" s="98">
        <f>IF(I242="","",IF(J242="高",IF(K242="删除",I242*'模板使用说明&amp;基础参数'!$E$5*'模板使用说明&amp;基础参数'!$E$12,IF(K242="修改",I242*'模板使用说明&amp;基础参数'!$E$5*'模板使用说明&amp;基础参数'!$E$11,I242*'模板使用说明&amp;基础参数'!$E$5*'模板使用说明&amp;基础参数'!$E$10)),IF(J242="中",IF(K242="删除",I242*'模板使用说明&amp;基础参数'!$E$6*'模板使用说明&amp;基础参数'!$E$12,IF(K242="修改",I242*'模板使用说明&amp;基础参数'!$E$6*'模板使用说明&amp;基础参数'!$E$11,I242*'模板使用说明&amp;基础参数'!$E$6*'模板使用说明&amp;基础参数'!$E$10)),IF(K242="删除",I242*'模板使用说明&amp;基础参数'!$E$7*'模板使用说明&amp;基础参数'!$E$12,IF(K242="修改",I242*'模板使用说明&amp;基础参数'!$E$7*'模板使用说明&amp;基础参数'!$E$11,I242*'模板使用说明&amp;基础参数'!$E$7*'模板使用说明&amp;基础参数'!$E$10)))))</f>
        <v>1.06666666666667</v>
      </c>
      <c r="M242" s="95"/>
      <c r="N242" s="99"/>
      <c r="O242" s="100"/>
    </row>
    <row r="243" s="70" customFormat="1" ht="25" customHeight="1" spans="1:15">
      <c r="A243" s="93">
        <v>238</v>
      </c>
      <c r="B243" s="94" t="s">
        <v>72</v>
      </c>
      <c r="C243" s="95" t="s">
        <v>73</v>
      </c>
      <c r="D243" s="95" t="s">
        <v>74</v>
      </c>
      <c r="E243" s="95" t="s">
        <v>74</v>
      </c>
      <c r="F243" s="95" t="s">
        <v>564</v>
      </c>
      <c r="G243" s="95" t="s">
        <v>565</v>
      </c>
      <c r="H243" s="93" t="s">
        <v>84</v>
      </c>
      <c r="I243" s="96">
        <f>IF(H243="ILF",IF($C$1="预估功能点",'模板使用说明&amp;基础参数'!$E$15,7),IF(H243="EIF",IF($C$1="预估功能点",'模板使用说明&amp;基础参数'!$E$16,5),IF(H243="EI",IF($C$1="预估功能点",'模板使用说明&amp;基础参数'!$E$17,'模板使用说明&amp;基础参数'!$E$24),IF(H243="EO",IF($C$1="预估功能点",'模板使用说明&amp;基础参数'!$E$18,'模板使用说明&amp;基础参数'!$E$25),IF(H243="EQ",IF($C$1="预估功能点",'模板使用说明&amp;基础参数'!$E$19,'模板使用说明&amp;基础参数'!$E$26),"")))))</f>
        <v>4</v>
      </c>
      <c r="J243" s="97" t="s">
        <v>38</v>
      </c>
      <c r="K243" s="97" t="s">
        <v>78</v>
      </c>
      <c r="L243" s="98">
        <f>IF(I243="","",IF(J243="高",IF(K243="删除",I243*'模板使用说明&amp;基础参数'!$E$5*'模板使用说明&amp;基础参数'!$E$12,IF(K243="修改",I243*'模板使用说明&amp;基础参数'!$E$5*'模板使用说明&amp;基础参数'!$E$11,I243*'模板使用说明&amp;基础参数'!$E$5*'模板使用说明&amp;基础参数'!$E$10)),IF(J243="中",IF(K243="删除",I243*'模板使用说明&amp;基础参数'!$E$6*'模板使用说明&amp;基础参数'!$E$12,IF(K243="修改",I243*'模板使用说明&amp;基础参数'!$E$6*'模板使用说明&amp;基础参数'!$E$11,I243*'模板使用说明&amp;基础参数'!$E$6*'模板使用说明&amp;基础参数'!$E$10)),IF(K243="删除",I243*'模板使用说明&amp;基础参数'!$E$7*'模板使用说明&amp;基础参数'!$E$12,IF(K243="修改",I243*'模板使用说明&amp;基础参数'!$E$7*'模板使用说明&amp;基础参数'!$E$11,I243*'模板使用说明&amp;基础参数'!$E$7*'模板使用说明&amp;基础参数'!$E$10)))))</f>
        <v>1.06666666666667</v>
      </c>
      <c r="M243" s="95"/>
      <c r="N243" s="99"/>
      <c r="O243" s="100"/>
    </row>
    <row r="244" s="70" customFormat="1" ht="25" customHeight="1" spans="1:15">
      <c r="A244" s="93">
        <v>239</v>
      </c>
      <c r="B244" s="94" t="s">
        <v>72</v>
      </c>
      <c r="C244" s="95" t="s">
        <v>73</v>
      </c>
      <c r="D244" s="95" t="s">
        <v>74</v>
      </c>
      <c r="E244" s="95" t="s">
        <v>74</v>
      </c>
      <c r="F244" s="95" t="s">
        <v>566</v>
      </c>
      <c r="G244" s="95" t="s">
        <v>567</v>
      </c>
      <c r="H244" s="93" t="s">
        <v>84</v>
      </c>
      <c r="I244" s="96">
        <f>IF(H244="ILF",IF($C$1="预估功能点",'模板使用说明&amp;基础参数'!$E$15,7),IF(H244="EIF",IF($C$1="预估功能点",'模板使用说明&amp;基础参数'!$E$16,5),IF(H244="EI",IF($C$1="预估功能点",'模板使用说明&amp;基础参数'!$E$17,'模板使用说明&amp;基础参数'!$E$24),IF(H244="EO",IF($C$1="预估功能点",'模板使用说明&amp;基础参数'!$E$18,'模板使用说明&amp;基础参数'!$E$25),IF(H244="EQ",IF($C$1="预估功能点",'模板使用说明&amp;基础参数'!$E$19,'模板使用说明&amp;基础参数'!$E$26),"")))))</f>
        <v>4</v>
      </c>
      <c r="J244" s="97" t="s">
        <v>38</v>
      </c>
      <c r="K244" s="97" t="s">
        <v>78</v>
      </c>
      <c r="L244" s="98">
        <f>IF(I244="","",IF(J244="高",IF(K244="删除",I244*'模板使用说明&amp;基础参数'!$E$5*'模板使用说明&amp;基础参数'!$E$12,IF(K244="修改",I244*'模板使用说明&amp;基础参数'!$E$5*'模板使用说明&amp;基础参数'!$E$11,I244*'模板使用说明&amp;基础参数'!$E$5*'模板使用说明&amp;基础参数'!$E$10)),IF(J244="中",IF(K244="删除",I244*'模板使用说明&amp;基础参数'!$E$6*'模板使用说明&amp;基础参数'!$E$12,IF(K244="修改",I244*'模板使用说明&amp;基础参数'!$E$6*'模板使用说明&amp;基础参数'!$E$11,I244*'模板使用说明&amp;基础参数'!$E$6*'模板使用说明&amp;基础参数'!$E$10)),IF(K244="删除",I244*'模板使用说明&amp;基础参数'!$E$7*'模板使用说明&amp;基础参数'!$E$12,IF(K244="修改",I244*'模板使用说明&amp;基础参数'!$E$7*'模板使用说明&amp;基础参数'!$E$11,I244*'模板使用说明&amp;基础参数'!$E$7*'模板使用说明&amp;基础参数'!$E$10)))))</f>
        <v>1.06666666666667</v>
      </c>
      <c r="M244" s="95"/>
      <c r="N244" s="99"/>
      <c r="O244" s="100"/>
    </row>
    <row r="245" s="70" customFormat="1" ht="25" customHeight="1" spans="1:15">
      <c r="A245" s="93">
        <v>240</v>
      </c>
      <c r="B245" s="94" t="s">
        <v>72</v>
      </c>
      <c r="C245" s="95" t="s">
        <v>73</v>
      </c>
      <c r="D245" s="95" t="s">
        <v>74</v>
      </c>
      <c r="E245" s="95" t="s">
        <v>74</v>
      </c>
      <c r="F245" s="95" t="s">
        <v>568</v>
      </c>
      <c r="G245" s="95" t="s">
        <v>569</v>
      </c>
      <c r="H245" s="93" t="s">
        <v>84</v>
      </c>
      <c r="I245" s="96">
        <f>IF(H245="ILF",IF($C$1="预估功能点",'模板使用说明&amp;基础参数'!$E$15,7),IF(H245="EIF",IF($C$1="预估功能点",'模板使用说明&amp;基础参数'!$E$16,5),IF(H245="EI",IF($C$1="预估功能点",'模板使用说明&amp;基础参数'!$E$17,'模板使用说明&amp;基础参数'!$E$24),IF(H245="EO",IF($C$1="预估功能点",'模板使用说明&amp;基础参数'!$E$18,'模板使用说明&amp;基础参数'!$E$25),IF(H245="EQ",IF($C$1="预估功能点",'模板使用说明&amp;基础参数'!$E$19,'模板使用说明&amp;基础参数'!$E$26),"")))))</f>
        <v>4</v>
      </c>
      <c r="J245" s="97" t="s">
        <v>38</v>
      </c>
      <c r="K245" s="97" t="s">
        <v>78</v>
      </c>
      <c r="L245" s="98">
        <f>IF(I245="","",IF(J245="高",IF(K245="删除",I245*'模板使用说明&amp;基础参数'!$E$5*'模板使用说明&amp;基础参数'!$E$12,IF(K245="修改",I245*'模板使用说明&amp;基础参数'!$E$5*'模板使用说明&amp;基础参数'!$E$11,I245*'模板使用说明&amp;基础参数'!$E$5*'模板使用说明&amp;基础参数'!$E$10)),IF(J245="中",IF(K245="删除",I245*'模板使用说明&amp;基础参数'!$E$6*'模板使用说明&amp;基础参数'!$E$12,IF(K245="修改",I245*'模板使用说明&amp;基础参数'!$E$6*'模板使用说明&amp;基础参数'!$E$11,I245*'模板使用说明&amp;基础参数'!$E$6*'模板使用说明&amp;基础参数'!$E$10)),IF(K245="删除",I245*'模板使用说明&amp;基础参数'!$E$7*'模板使用说明&amp;基础参数'!$E$12,IF(K245="修改",I245*'模板使用说明&amp;基础参数'!$E$7*'模板使用说明&amp;基础参数'!$E$11,I245*'模板使用说明&amp;基础参数'!$E$7*'模板使用说明&amp;基础参数'!$E$10)))))</f>
        <v>1.06666666666667</v>
      </c>
      <c r="M245" s="95"/>
      <c r="N245" s="99"/>
      <c r="O245" s="100"/>
    </row>
    <row r="246" s="70" customFormat="1" ht="25" customHeight="1" spans="1:15">
      <c r="A246" s="93">
        <v>241</v>
      </c>
      <c r="B246" s="94" t="s">
        <v>72</v>
      </c>
      <c r="C246" s="95" t="s">
        <v>73</v>
      </c>
      <c r="D246" s="95" t="s">
        <v>74</v>
      </c>
      <c r="E246" s="95" t="s">
        <v>74</v>
      </c>
      <c r="F246" s="95" t="s">
        <v>570</v>
      </c>
      <c r="G246" s="95" t="s">
        <v>571</v>
      </c>
      <c r="H246" s="93" t="s">
        <v>77</v>
      </c>
      <c r="I246" s="96">
        <f>IF(H246="ILF",IF($C$1="预估功能点",'模板使用说明&amp;基础参数'!$E$15,7),IF(H246="EIF",IF($C$1="预估功能点",'模板使用说明&amp;基础参数'!$E$16,5),IF(H246="EI",IF($C$1="预估功能点",'模板使用说明&amp;基础参数'!$E$17,'模板使用说明&amp;基础参数'!$E$24),IF(H246="EO",IF($C$1="预估功能点",'模板使用说明&amp;基础参数'!$E$18,'模板使用说明&amp;基础参数'!$E$25),IF(H246="EQ",IF($C$1="预估功能点",'模板使用说明&amp;基础参数'!$E$19,'模板使用说明&amp;基础参数'!$E$26),"")))))</f>
        <v>7</v>
      </c>
      <c r="J246" s="97" t="s">
        <v>38</v>
      </c>
      <c r="K246" s="97" t="s">
        <v>78</v>
      </c>
      <c r="L246" s="98">
        <f>IF(I246="","",IF(J246="高",IF(K246="删除",I246*'模板使用说明&amp;基础参数'!$E$5*'模板使用说明&amp;基础参数'!$E$12,IF(K246="修改",I246*'模板使用说明&amp;基础参数'!$E$5*'模板使用说明&amp;基础参数'!$E$11,I246*'模板使用说明&amp;基础参数'!$E$5*'模板使用说明&amp;基础参数'!$E$10)),IF(J246="中",IF(K246="删除",I246*'模板使用说明&amp;基础参数'!$E$6*'模板使用说明&amp;基础参数'!$E$12,IF(K246="修改",I246*'模板使用说明&amp;基础参数'!$E$6*'模板使用说明&amp;基础参数'!$E$11,I246*'模板使用说明&amp;基础参数'!$E$6*'模板使用说明&amp;基础参数'!$E$10)),IF(K246="删除",I246*'模板使用说明&amp;基础参数'!$E$7*'模板使用说明&amp;基础参数'!$E$12,IF(K246="修改",I246*'模板使用说明&amp;基础参数'!$E$7*'模板使用说明&amp;基础参数'!$E$11,I246*'模板使用说明&amp;基础参数'!$E$7*'模板使用说明&amp;基础参数'!$E$10)))))</f>
        <v>1.86666666666666</v>
      </c>
      <c r="M246" s="95"/>
      <c r="N246" s="99"/>
      <c r="O246" s="100"/>
    </row>
    <row r="247" s="70" customFormat="1" ht="25" customHeight="1" spans="1:15">
      <c r="A247" s="93">
        <v>242</v>
      </c>
      <c r="B247" s="94" t="s">
        <v>72</v>
      </c>
      <c r="C247" s="95" t="s">
        <v>73</v>
      </c>
      <c r="D247" s="95" t="s">
        <v>74</v>
      </c>
      <c r="E247" s="95" t="s">
        <v>74</v>
      </c>
      <c r="F247" s="95" t="s">
        <v>572</v>
      </c>
      <c r="G247" s="95" t="s">
        <v>573</v>
      </c>
      <c r="H247" s="93" t="s">
        <v>81</v>
      </c>
      <c r="I247" s="96">
        <f>IF(H247="ILF",IF($C$1="预估功能点",'模板使用说明&amp;基础参数'!$E$15,7),IF(H247="EIF",IF($C$1="预估功能点",'模板使用说明&amp;基础参数'!$E$16,5),IF(H247="EI",IF($C$1="预估功能点",'模板使用说明&amp;基础参数'!$E$17,'模板使用说明&amp;基础参数'!$E$24),IF(H247="EO",IF($C$1="预估功能点",'模板使用说明&amp;基础参数'!$E$18,'模板使用说明&amp;基础参数'!$E$25),IF(H247="EQ",IF($C$1="预估功能点",'模板使用说明&amp;基础参数'!$E$19,'模板使用说明&amp;基础参数'!$E$26),"")))))</f>
        <v>4</v>
      </c>
      <c r="J247" s="97" t="s">
        <v>38</v>
      </c>
      <c r="K247" s="97" t="s">
        <v>78</v>
      </c>
      <c r="L247" s="98">
        <f>IF(I247="","",IF(J247="高",IF(K247="删除",I247*'模板使用说明&amp;基础参数'!$E$5*'模板使用说明&amp;基础参数'!$E$12,IF(K247="修改",I247*'模板使用说明&amp;基础参数'!$E$5*'模板使用说明&amp;基础参数'!$E$11,I247*'模板使用说明&amp;基础参数'!$E$5*'模板使用说明&amp;基础参数'!$E$10)),IF(J247="中",IF(K247="删除",I247*'模板使用说明&amp;基础参数'!$E$6*'模板使用说明&amp;基础参数'!$E$12,IF(K247="修改",I247*'模板使用说明&amp;基础参数'!$E$6*'模板使用说明&amp;基础参数'!$E$11,I247*'模板使用说明&amp;基础参数'!$E$6*'模板使用说明&amp;基础参数'!$E$10)),IF(K247="删除",I247*'模板使用说明&amp;基础参数'!$E$7*'模板使用说明&amp;基础参数'!$E$12,IF(K247="修改",I247*'模板使用说明&amp;基础参数'!$E$7*'模板使用说明&amp;基础参数'!$E$11,I247*'模板使用说明&amp;基础参数'!$E$7*'模板使用说明&amp;基础参数'!$E$10)))))</f>
        <v>1.06666666666667</v>
      </c>
      <c r="M247" s="95"/>
      <c r="N247" s="99"/>
      <c r="O247" s="100"/>
    </row>
    <row r="248" s="70" customFormat="1" ht="25" customHeight="1" spans="1:15">
      <c r="A248" s="93">
        <v>243</v>
      </c>
      <c r="B248" s="94" t="s">
        <v>72</v>
      </c>
      <c r="C248" s="95" t="s">
        <v>73</v>
      </c>
      <c r="D248" s="95" t="s">
        <v>74</v>
      </c>
      <c r="E248" s="95" t="s">
        <v>74</v>
      </c>
      <c r="F248" s="95" t="s">
        <v>574</v>
      </c>
      <c r="G248" s="95" t="s">
        <v>575</v>
      </c>
      <c r="H248" s="93" t="s">
        <v>84</v>
      </c>
      <c r="I248" s="96">
        <f>IF(H248="ILF",IF($C$1="预估功能点",'模板使用说明&amp;基础参数'!$E$15,7),IF(H248="EIF",IF($C$1="预估功能点",'模板使用说明&amp;基础参数'!$E$16,5),IF(H248="EI",IF($C$1="预估功能点",'模板使用说明&amp;基础参数'!$E$17,'模板使用说明&amp;基础参数'!$E$24),IF(H248="EO",IF($C$1="预估功能点",'模板使用说明&amp;基础参数'!$E$18,'模板使用说明&amp;基础参数'!$E$25),IF(H248="EQ",IF($C$1="预估功能点",'模板使用说明&amp;基础参数'!$E$19,'模板使用说明&amp;基础参数'!$E$26),"")))))</f>
        <v>4</v>
      </c>
      <c r="J248" s="97" t="s">
        <v>38</v>
      </c>
      <c r="K248" s="97" t="s">
        <v>78</v>
      </c>
      <c r="L248" s="98">
        <f>IF(I248="","",IF(J248="高",IF(K248="删除",I248*'模板使用说明&amp;基础参数'!$E$5*'模板使用说明&amp;基础参数'!$E$12,IF(K248="修改",I248*'模板使用说明&amp;基础参数'!$E$5*'模板使用说明&amp;基础参数'!$E$11,I248*'模板使用说明&amp;基础参数'!$E$5*'模板使用说明&amp;基础参数'!$E$10)),IF(J248="中",IF(K248="删除",I248*'模板使用说明&amp;基础参数'!$E$6*'模板使用说明&amp;基础参数'!$E$12,IF(K248="修改",I248*'模板使用说明&amp;基础参数'!$E$6*'模板使用说明&amp;基础参数'!$E$11,I248*'模板使用说明&amp;基础参数'!$E$6*'模板使用说明&amp;基础参数'!$E$10)),IF(K248="删除",I248*'模板使用说明&amp;基础参数'!$E$7*'模板使用说明&amp;基础参数'!$E$12,IF(K248="修改",I248*'模板使用说明&amp;基础参数'!$E$7*'模板使用说明&amp;基础参数'!$E$11,I248*'模板使用说明&amp;基础参数'!$E$7*'模板使用说明&amp;基础参数'!$E$10)))))</f>
        <v>1.06666666666667</v>
      </c>
      <c r="M248" s="95"/>
      <c r="N248" s="99"/>
      <c r="O248" s="100"/>
    </row>
    <row r="249" s="70" customFormat="1" ht="25" customHeight="1" spans="1:15">
      <c r="A249" s="93">
        <v>244</v>
      </c>
      <c r="B249" s="94" t="s">
        <v>72</v>
      </c>
      <c r="C249" s="95" t="s">
        <v>73</v>
      </c>
      <c r="D249" s="95" t="s">
        <v>74</v>
      </c>
      <c r="E249" s="95" t="s">
        <v>74</v>
      </c>
      <c r="F249" s="95" t="s">
        <v>576</v>
      </c>
      <c r="G249" s="95" t="s">
        <v>577</v>
      </c>
      <c r="H249" s="93" t="s">
        <v>84</v>
      </c>
      <c r="I249" s="96">
        <f>IF(H249="ILF",IF($C$1="预估功能点",'模板使用说明&amp;基础参数'!$E$15,7),IF(H249="EIF",IF($C$1="预估功能点",'模板使用说明&amp;基础参数'!$E$16,5),IF(H249="EI",IF($C$1="预估功能点",'模板使用说明&amp;基础参数'!$E$17,'模板使用说明&amp;基础参数'!$E$24),IF(H249="EO",IF($C$1="预估功能点",'模板使用说明&amp;基础参数'!$E$18,'模板使用说明&amp;基础参数'!$E$25),IF(H249="EQ",IF($C$1="预估功能点",'模板使用说明&amp;基础参数'!$E$19,'模板使用说明&amp;基础参数'!$E$26),"")))))</f>
        <v>4</v>
      </c>
      <c r="J249" s="97" t="s">
        <v>38</v>
      </c>
      <c r="K249" s="97" t="s">
        <v>78</v>
      </c>
      <c r="L249" s="98">
        <f>IF(I249="","",IF(J249="高",IF(K249="删除",I249*'模板使用说明&amp;基础参数'!$E$5*'模板使用说明&amp;基础参数'!$E$12,IF(K249="修改",I249*'模板使用说明&amp;基础参数'!$E$5*'模板使用说明&amp;基础参数'!$E$11,I249*'模板使用说明&amp;基础参数'!$E$5*'模板使用说明&amp;基础参数'!$E$10)),IF(J249="中",IF(K249="删除",I249*'模板使用说明&amp;基础参数'!$E$6*'模板使用说明&amp;基础参数'!$E$12,IF(K249="修改",I249*'模板使用说明&amp;基础参数'!$E$6*'模板使用说明&amp;基础参数'!$E$11,I249*'模板使用说明&amp;基础参数'!$E$6*'模板使用说明&amp;基础参数'!$E$10)),IF(K249="删除",I249*'模板使用说明&amp;基础参数'!$E$7*'模板使用说明&amp;基础参数'!$E$12,IF(K249="修改",I249*'模板使用说明&amp;基础参数'!$E$7*'模板使用说明&amp;基础参数'!$E$11,I249*'模板使用说明&amp;基础参数'!$E$7*'模板使用说明&amp;基础参数'!$E$10)))))</f>
        <v>1.06666666666667</v>
      </c>
      <c r="M249" s="95"/>
      <c r="N249" s="99"/>
      <c r="O249" s="100"/>
    </row>
    <row r="250" s="70" customFormat="1" ht="25" customHeight="1" spans="1:15">
      <c r="A250" s="93">
        <v>245</v>
      </c>
      <c r="B250" s="94" t="s">
        <v>72</v>
      </c>
      <c r="C250" s="95" t="s">
        <v>73</v>
      </c>
      <c r="D250" s="95" t="s">
        <v>74</v>
      </c>
      <c r="E250" s="95" t="s">
        <v>74</v>
      </c>
      <c r="F250" s="95" t="s">
        <v>578</v>
      </c>
      <c r="G250" s="95" t="s">
        <v>579</v>
      </c>
      <c r="H250" s="93" t="s">
        <v>84</v>
      </c>
      <c r="I250" s="96">
        <f>IF(H250="ILF",IF($C$1="预估功能点",'模板使用说明&amp;基础参数'!$E$15,7),IF(H250="EIF",IF($C$1="预估功能点",'模板使用说明&amp;基础参数'!$E$16,5),IF(H250="EI",IF($C$1="预估功能点",'模板使用说明&amp;基础参数'!$E$17,'模板使用说明&amp;基础参数'!$E$24),IF(H250="EO",IF($C$1="预估功能点",'模板使用说明&amp;基础参数'!$E$18,'模板使用说明&amp;基础参数'!$E$25),IF(H250="EQ",IF($C$1="预估功能点",'模板使用说明&amp;基础参数'!$E$19,'模板使用说明&amp;基础参数'!$E$26),"")))))</f>
        <v>4</v>
      </c>
      <c r="J250" s="97" t="s">
        <v>38</v>
      </c>
      <c r="K250" s="97" t="s">
        <v>78</v>
      </c>
      <c r="L250" s="98">
        <f>IF(I250="","",IF(J250="高",IF(K250="删除",I250*'模板使用说明&amp;基础参数'!$E$5*'模板使用说明&amp;基础参数'!$E$12,IF(K250="修改",I250*'模板使用说明&amp;基础参数'!$E$5*'模板使用说明&amp;基础参数'!$E$11,I250*'模板使用说明&amp;基础参数'!$E$5*'模板使用说明&amp;基础参数'!$E$10)),IF(J250="中",IF(K250="删除",I250*'模板使用说明&amp;基础参数'!$E$6*'模板使用说明&amp;基础参数'!$E$12,IF(K250="修改",I250*'模板使用说明&amp;基础参数'!$E$6*'模板使用说明&amp;基础参数'!$E$11,I250*'模板使用说明&amp;基础参数'!$E$6*'模板使用说明&amp;基础参数'!$E$10)),IF(K250="删除",I250*'模板使用说明&amp;基础参数'!$E$7*'模板使用说明&amp;基础参数'!$E$12,IF(K250="修改",I250*'模板使用说明&amp;基础参数'!$E$7*'模板使用说明&amp;基础参数'!$E$11,I250*'模板使用说明&amp;基础参数'!$E$7*'模板使用说明&amp;基础参数'!$E$10)))))</f>
        <v>1.06666666666667</v>
      </c>
      <c r="M250" s="95"/>
      <c r="N250" s="99"/>
      <c r="O250" s="100"/>
    </row>
    <row r="251" s="70" customFormat="1" ht="25" customHeight="1" spans="1:15">
      <c r="A251" s="93">
        <v>246</v>
      </c>
      <c r="B251" s="94" t="s">
        <v>72</v>
      </c>
      <c r="C251" s="95" t="s">
        <v>73</v>
      </c>
      <c r="D251" s="95" t="s">
        <v>74</v>
      </c>
      <c r="E251" s="95" t="s">
        <v>74</v>
      </c>
      <c r="F251" s="95" t="s">
        <v>580</v>
      </c>
      <c r="G251" s="95" t="s">
        <v>581</v>
      </c>
      <c r="H251" s="93" t="s">
        <v>77</v>
      </c>
      <c r="I251" s="96">
        <f>IF(H251="ILF",IF($C$1="预估功能点",'模板使用说明&amp;基础参数'!$E$15,7),IF(H251="EIF",IF($C$1="预估功能点",'模板使用说明&amp;基础参数'!$E$16,5),IF(H251="EI",IF($C$1="预估功能点",'模板使用说明&amp;基础参数'!$E$17,'模板使用说明&amp;基础参数'!$E$24),IF(H251="EO",IF($C$1="预估功能点",'模板使用说明&amp;基础参数'!$E$18,'模板使用说明&amp;基础参数'!$E$25),IF(H251="EQ",IF($C$1="预估功能点",'模板使用说明&amp;基础参数'!$E$19,'模板使用说明&amp;基础参数'!$E$26),"")))))</f>
        <v>7</v>
      </c>
      <c r="J251" s="97" t="s">
        <v>38</v>
      </c>
      <c r="K251" s="97" t="s">
        <v>78</v>
      </c>
      <c r="L251" s="98">
        <f>IF(I251="","",IF(J251="高",IF(K251="删除",I251*'模板使用说明&amp;基础参数'!$E$5*'模板使用说明&amp;基础参数'!$E$12,IF(K251="修改",I251*'模板使用说明&amp;基础参数'!$E$5*'模板使用说明&amp;基础参数'!$E$11,I251*'模板使用说明&amp;基础参数'!$E$5*'模板使用说明&amp;基础参数'!$E$10)),IF(J251="中",IF(K251="删除",I251*'模板使用说明&amp;基础参数'!$E$6*'模板使用说明&amp;基础参数'!$E$12,IF(K251="修改",I251*'模板使用说明&amp;基础参数'!$E$6*'模板使用说明&amp;基础参数'!$E$11,I251*'模板使用说明&amp;基础参数'!$E$6*'模板使用说明&amp;基础参数'!$E$10)),IF(K251="删除",I251*'模板使用说明&amp;基础参数'!$E$7*'模板使用说明&amp;基础参数'!$E$12,IF(K251="修改",I251*'模板使用说明&amp;基础参数'!$E$7*'模板使用说明&amp;基础参数'!$E$11,I251*'模板使用说明&amp;基础参数'!$E$7*'模板使用说明&amp;基础参数'!$E$10)))))</f>
        <v>1.86666666666666</v>
      </c>
      <c r="M251" s="95"/>
      <c r="N251" s="99"/>
      <c r="O251" s="100"/>
    </row>
    <row r="252" s="70" customFormat="1" ht="25" customHeight="1" spans="1:15">
      <c r="A252" s="93">
        <v>247</v>
      </c>
      <c r="B252" s="94" t="s">
        <v>72</v>
      </c>
      <c r="C252" s="95" t="s">
        <v>73</v>
      </c>
      <c r="D252" s="95" t="s">
        <v>74</v>
      </c>
      <c r="E252" s="95" t="s">
        <v>74</v>
      </c>
      <c r="F252" s="95" t="s">
        <v>582</v>
      </c>
      <c r="G252" s="95" t="s">
        <v>583</v>
      </c>
      <c r="H252" s="93" t="s">
        <v>81</v>
      </c>
      <c r="I252" s="96">
        <f>IF(H252="ILF",IF($C$1="预估功能点",'模板使用说明&amp;基础参数'!$E$15,7),IF(H252="EIF",IF($C$1="预估功能点",'模板使用说明&amp;基础参数'!$E$16,5),IF(H252="EI",IF($C$1="预估功能点",'模板使用说明&amp;基础参数'!$E$17,'模板使用说明&amp;基础参数'!$E$24),IF(H252="EO",IF($C$1="预估功能点",'模板使用说明&amp;基础参数'!$E$18,'模板使用说明&amp;基础参数'!$E$25),IF(H252="EQ",IF($C$1="预估功能点",'模板使用说明&amp;基础参数'!$E$19,'模板使用说明&amp;基础参数'!$E$26),"")))))</f>
        <v>4</v>
      </c>
      <c r="J252" s="97" t="s">
        <v>38</v>
      </c>
      <c r="K252" s="97" t="s">
        <v>78</v>
      </c>
      <c r="L252" s="98">
        <f>IF(I252="","",IF(J252="高",IF(K252="删除",I252*'模板使用说明&amp;基础参数'!$E$5*'模板使用说明&amp;基础参数'!$E$12,IF(K252="修改",I252*'模板使用说明&amp;基础参数'!$E$5*'模板使用说明&amp;基础参数'!$E$11,I252*'模板使用说明&amp;基础参数'!$E$5*'模板使用说明&amp;基础参数'!$E$10)),IF(J252="中",IF(K252="删除",I252*'模板使用说明&amp;基础参数'!$E$6*'模板使用说明&amp;基础参数'!$E$12,IF(K252="修改",I252*'模板使用说明&amp;基础参数'!$E$6*'模板使用说明&amp;基础参数'!$E$11,I252*'模板使用说明&amp;基础参数'!$E$6*'模板使用说明&amp;基础参数'!$E$10)),IF(K252="删除",I252*'模板使用说明&amp;基础参数'!$E$7*'模板使用说明&amp;基础参数'!$E$12,IF(K252="修改",I252*'模板使用说明&amp;基础参数'!$E$7*'模板使用说明&amp;基础参数'!$E$11,I252*'模板使用说明&amp;基础参数'!$E$7*'模板使用说明&amp;基础参数'!$E$10)))))</f>
        <v>1.06666666666667</v>
      </c>
      <c r="M252" s="95"/>
      <c r="N252" s="99"/>
      <c r="O252" s="100"/>
    </row>
    <row r="253" s="70" customFormat="1" ht="25" customHeight="1" spans="1:15">
      <c r="A253" s="93">
        <v>248</v>
      </c>
      <c r="B253" s="94" t="s">
        <v>72</v>
      </c>
      <c r="C253" s="95" t="s">
        <v>73</v>
      </c>
      <c r="D253" s="95" t="s">
        <v>74</v>
      </c>
      <c r="E253" s="95" t="s">
        <v>74</v>
      </c>
      <c r="F253" s="95" t="s">
        <v>584</v>
      </c>
      <c r="G253" s="95" t="s">
        <v>585</v>
      </c>
      <c r="H253" s="93" t="s">
        <v>84</v>
      </c>
      <c r="I253" s="96">
        <f>IF(H253="ILF",IF($C$1="预估功能点",'模板使用说明&amp;基础参数'!$E$15,7),IF(H253="EIF",IF($C$1="预估功能点",'模板使用说明&amp;基础参数'!$E$16,5),IF(H253="EI",IF($C$1="预估功能点",'模板使用说明&amp;基础参数'!$E$17,'模板使用说明&amp;基础参数'!$E$24),IF(H253="EO",IF($C$1="预估功能点",'模板使用说明&amp;基础参数'!$E$18,'模板使用说明&amp;基础参数'!$E$25),IF(H253="EQ",IF($C$1="预估功能点",'模板使用说明&amp;基础参数'!$E$19,'模板使用说明&amp;基础参数'!$E$26),"")))))</f>
        <v>4</v>
      </c>
      <c r="J253" s="97" t="s">
        <v>38</v>
      </c>
      <c r="K253" s="97" t="s">
        <v>78</v>
      </c>
      <c r="L253" s="98">
        <f>IF(I253="","",IF(J253="高",IF(K253="删除",I253*'模板使用说明&amp;基础参数'!$E$5*'模板使用说明&amp;基础参数'!$E$12,IF(K253="修改",I253*'模板使用说明&amp;基础参数'!$E$5*'模板使用说明&amp;基础参数'!$E$11,I253*'模板使用说明&amp;基础参数'!$E$5*'模板使用说明&amp;基础参数'!$E$10)),IF(J253="中",IF(K253="删除",I253*'模板使用说明&amp;基础参数'!$E$6*'模板使用说明&amp;基础参数'!$E$12,IF(K253="修改",I253*'模板使用说明&amp;基础参数'!$E$6*'模板使用说明&amp;基础参数'!$E$11,I253*'模板使用说明&amp;基础参数'!$E$6*'模板使用说明&amp;基础参数'!$E$10)),IF(K253="删除",I253*'模板使用说明&amp;基础参数'!$E$7*'模板使用说明&amp;基础参数'!$E$12,IF(K253="修改",I253*'模板使用说明&amp;基础参数'!$E$7*'模板使用说明&amp;基础参数'!$E$11,I253*'模板使用说明&amp;基础参数'!$E$7*'模板使用说明&amp;基础参数'!$E$10)))))</f>
        <v>1.06666666666667</v>
      </c>
      <c r="M253" s="95"/>
      <c r="N253" s="99"/>
      <c r="O253" s="100"/>
    </row>
    <row r="254" s="70" customFormat="1" ht="25" customHeight="1" spans="1:15">
      <c r="A254" s="93">
        <v>249</v>
      </c>
      <c r="B254" s="94" t="s">
        <v>72</v>
      </c>
      <c r="C254" s="95" t="s">
        <v>73</v>
      </c>
      <c r="D254" s="95" t="s">
        <v>74</v>
      </c>
      <c r="E254" s="95" t="s">
        <v>74</v>
      </c>
      <c r="F254" s="95" t="s">
        <v>586</v>
      </c>
      <c r="G254" s="95" t="s">
        <v>587</v>
      </c>
      <c r="H254" s="93" t="s">
        <v>84</v>
      </c>
      <c r="I254" s="96">
        <f>IF(H254="ILF",IF($C$1="预估功能点",'模板使用说明&amp;基础参数'!$E$15,7),IF(H254="EIF",IF($C$1="预估功能点",'模板使用说明&amp;基础参数'!$E$16,5),IF(H254="EI",IF($C$1="预估功能点",'模板使用说明&amp;基础参数'!$E$17,'模板使用说明&amp;基础参数'!$E$24),IF(H254="EO",IF($C$1="预估功能点",'模板使用说明&amp;基础参数'!$E$18,'模板使用说明&amp;基础参数'!$E$25),IF(H254="EQ",IF($C$1="预估功能点",'模板使用说明&amp;基础参数'!$E$19,'模板使用说明&amp;基础参数'!$E$26),"")))))</f>
        <v>4</v>
      </c>
      <c r="J254" s="97" t="s">
        <v>38</v>
      </c>
      <c r="K254" s="97" t="s">
        <v>78</v>
      </c>
      <c r="L254" s="98">
        <f>IF(I254="","",IF(J254="高",IF(K254="删除",I254*'模板使用说明&amp;基础参数'!$E$5*'模板使用说明&amp;基础参数'!$E$12,IF(K254="修改",I254*'模板使用说明&amp;基础参数'!$E$5*'模板使用说明&amp;基础参数'!$E$11,I254*'模板使用说明&amp;基础参数'!$E$5*'模板使用说明&amp;基础参数'!$E$10)),IF(J254="中",IF(K254="删除",I254*'模板使用说明&amp;基础参数'!$E$6*'模板使用说明&amp;基础参数'!$E$12,IF(K254="修改",I254*'模板使用说明&amp;基础参数'!$E$6*'模板使用说明&amp;基础参数'!$E$11,I254*'模板使用说明&amp;基础参数'!$E$6*'模板使用说明&amp;基础参数'!$E$10)),IF(K254="删除",I254*'模板使用说明&amp;基础参数'!$E$7*'模板使用说明&amp;基础参数'!$E$12,IF(K254="修改",I254*'模板使用说明&amp;基础参数'!$E$7*'模板使用说明&amp;基础参数'!$E$11,I254*'模板使用说明&amp;基础参数'!$E$7*'模板使用说明&amp;基础参数'!$E$10)))))</f>
        <v>1.06666666666667</v>
      </c>
      <c r="M254" s="95"/>
      <c r="N254" s="99"/>
      <c r="O254" s="100"/>
    </row>
    <row r="255" s="70" customFormat="1" ht="25" customHeight="1" spans="1:15">
      <c r="A255" s="93">
        <v>250</v>
      </c>
      <c r="B255" s="94" t="s">
        <v>72</v>
      </c>
      <c r="C255" s="95" t="s">
        <v>73</v>
      </c>
      <c r="D255" s="95" t="s">
        <v>74</v>
      </c>
      <c r="E255" s="95" t="s">
        <v>74</v>
      </c>
      <c r="F255" s="95" t="s">
        <v>588</v>
      </c>
      <c r="G255" s="95" t="s">
        <v>589</v>
      </c>
      <c r="H255" s="93" t="s">
        <v>84</v>
      </c>
      <c r="I255" s="96">
        <f>IF(H255="ILF",IF($C$1="预估功能点",'模板使用说明&amp;基础参数'!$E$15,7),IF(H255="EIF",IF($C$1="预估功能点",'模板使用说明&amp;基础参数'!$E$16,5),IF(H255="EI",IF($C$1="预估功能点",'模板使用说明&amp;基础参数'!$E$17,'模板使用说明&amp;基础参数'!$E$24),IF(H255="EO",IF($C$1="预估功能点",'模板使用说明&amp;基础参数'!$E$18,'模板使用说明&amp;基础参数'!$E$25),IF(H255="EQ",IF($C$1="预估功能点",'模板使用说明&amp;基础参数'!$E$19,'模板使用说明&amp;基础参数'!$E$26),"")))))</f>
        <v>4</v>
      </c>
      <c r="J255" s="97" t="s">
        <v>38</v>
      </c>
      <c r="K255" s="97" t="s">
        <v>78</v>
      </c>
      <c r="L255" s="98">
        <f>IF(I255="","",IF(J255="高",IF(K255="删除",I255*'模板使用说明&amp;基础参数'!$E$5*'模板使用说明&amp;基础参数'!$E$12,IF(K255="修改",I255*'模板使用说明&amp;基础参数'!$E$5*'模板使用说明&amp;基础参数'!$E$11,I255*'模板使用说明&amp;基础参数'!$E$5*'模板使用说明&amp;基础参数'!$E$10)),IF(J255="中",IF(K255="删除",I255*'模板使用说明&amp;基础参数'!$E$6*'模板使用说明&amp;基础参数'!$E$12,IF(K255="修改",I255*'模板使用说明&amp;基础参数'!$E$6*'模板使用说明&amp;基础参数'!$E$11,I255*'模板使用说明&amp;基础参数'!$E$6*'模板使用说明&amp;基础参数'!$E$10)),IF(K255="删除",I255*'模板使用说明&amp;基础参数'!$E$7*'模板使用说明&amp;基础参数'!$E$12,IF(K255="修改",I255*'模板使用说明&amp;基础参数'!$E$7*'模板使用说明&amp;基础参数'!$E$11,I255*'模板使用说明&amp;基础参数'!$E$7*'模板使用说明&amp;基础参数'!$E$10)))))</f>
        <v>1.06666666666667</v>
      </c>
      <c r="M255" s="95"/>
      <c r="N255" s="99"/>
      <c r="O255" s="100"/>
    </row>
    <row r="256" s="70" customFormat="1" ht="25" customHeight="1" spans="1:15">
      <c r="A256" s="93">
        <v>251</v>
      </c>
      <c r="B256" s="94" t="s">
        <v>72</v>
      </c>
      <c r="C256" s="95" t="s">
        <v>73</v>
      </c>
      <c r="D256" s="95" t="s">
        <v>74</v>
      </c>
      <c r="E256" s="95" t="s">
        <v>74</v>
      </c>
      <c r="F256" s="95" t="s">
        <v>590</v>
      </c>
      <c r="G256" s="95" t="s">
        <v>591</v>
      </c>
      <c r="H256" s="93" t="s">
        <v>77</v>
      </c>
      <c r="I256" s="96">
        <f>IF(H256="ILF",IF($C$1="预估功能点",'模板使用说明&amp;基础参数'!$E$15,7),IF(H256="EIF",IF($C$1="预估功能点",'模板使用说明&amp;基础参数'!$E$16,5),IF(H256="EI",IF($C$1="预估功能点",'模板使用说明&amp;基础参数'!$E$17,'模板使用说明&amp;基础参数'!$E$24),IF(H256="EO",IF($C$1="预估功能点",'模板使用说明&amp;基础参数'!$E$18,'模板使用说明&amp;基础参数'!$E$25),IF(H256="EQ",IF($C$1="预估功能点",'模板使用说明&amp;基础参数'!$E$19,'模板使用说明&amp;基础参数'!$E$26),"")))))</f>
        <v>7</v>
      </c>
      <c r="J256" s="97" t="s">
        <v>38</v>
      </c>
      <c r="K256" s="97" t="s">
        <v>78</v>
      </c>
      <c r="L256" s="98">
        <f>IF(I256="","",IF(J256="高",IF(K256="删除",I256*'模板使用说明&amp;基础参数'!$E$5*'模板使用说明&amp;基础参数'!$E$12,IF(K256="修改",I256*'模板使用说明&amp;基础参数'!$E$5*'模板使用说明&amp;基础参数'!$E$11,I256*'模板使用说明&amp;基础参数'!$E$5*'模板使用说明&amp;基础参数'!$E$10)),IF(J256="中",IF(K256="删除",I256*'模板使用说明&amp;基础参数'!$E$6*'模板使用说明&amp;基础参数'!$E$12,IF(K256="修改",I256*'模板使用说明&amp;基础参数'!$E$6*'模板使用说明&amp;基础参数'!$E$11,I256*'模板使用说明&amp;基础参数'!$E$6*'模板使用说明&amp;基础参数'!$E$10)),IF(K256="删除",I256*'模板使用说明&amp;基础参数'!$E$7*'模板使用说明&amp;基础参数'!$E$12,IF(K256="修改",I256*'模板使用说明&amp;基础参数'!$E$7*'模板使用说明&amp;基础参数'!$E$11,I256*'模板使用说明&amp;基础参数'!$E$7*'模板使用说明&amp;基础参数'!$E$10)))))</f>
        <v>1.86666666666666</v>
      </c>
      <c r="M256" s="95"/>
      <c r="N256" s="99"/>
      <c r="O256" s="100"/>
    </row>
    <row r="257" s="70" customFormat="1" ht="25" customHeight="1" spans="1:15">
      <c r="A257" s="93">
        <v>252</v>
      </c>
      <c r="B257" s="94" t="s">
        <v>72</v>
      </c>
      <c r="C257" s="95" t="s">
        <v>73</v>
      </c>
      <c r="D257" s="95" t="s">
        <v>74</v>
      </c>
      <c r="E257" s="95" t="s">
        <v>74</v>
      </c>
      <c r="F257" s="95" t="s">
        <v>592</v>
      </c>
      <c r="G257" s="95" t="s">
        <v>593</v>
      </c>
      <c r="H257" s="93" t="s">
        <v>81</v>
      </c>
      <c r="I257" s="96">
        <f>IF(H257="ILF",IF($C$1="预估功能点",'模板使用说明&amp;基础参数'!$E$15,7),IF(H257="EIF",IF($C$1="预估功能点",'模板使用说明&amp;基础参数'!$E$16,5),IF(H257="EI",IF($C$1="预估功能点",'模板使用说明&amp;基础参数'!$E$17,'模板使用说明&amp;基础参数'!$E$24),IF(H257="EO",IF($C$1="预估功能点",'模板使用说明&amp;基础参数'!$E$18,'模板使用说明&amp;基础参数'!$E$25),IF(H257="EQ",IF($C$1="预估功能点",'模板使用说明&amp;基础参数'!$E$19,'模板使用说明&amp;基础参数'!$E$26),"")))))</f>
        <v>4</v>
      </c>
      <c r="J257" s="97" t="s">
        <v>38</v>
      </c>
      <c r="K257" s="97" t="s">
        <v>78</v>
      </c>
      <c r="L257" s="98">
        <f>IF(I257="","",IF(J257="高",IF(K257="删除",I257*'模板使用说明&amp;基础参数'!$E$5*'模板使用说明&amp;基础参数'!$E$12,IF(K257="修改",I257*'模板使用说明&amp;基础参数'!$E$5*'模板使用说明&amp;基础参数'!$E$11,I257*'模板使用说明&amp;基础参数'!$E$5*'模板使用说明&amp;基础参数'!$E$10)),IF(J257="中",IF(K257="删除",I257*'模板使用说明&amp;基础参数'!$E$6*'模板使用说明&amp;基础参数'!$E$12,IF(K257="修改",I257*'模板使用说明&amp;基础参数'!$E$6*'模板使用说明&amp;基础参数'!$E$11,I257*'模板使用说明&amp;基础参数'!$E$6*'模板使用说明&amp;基础参数'!$E$10)),IF(K257="删除",I257*'模板使用说明&amp;基础参数'!$E$7*'模板使用说明&amp;基础参数'!$E$12,IF(K257="修改",I257*'模板使用说明&amp;基础参数'!$E$7*'模板使用说明&amp;基础参数'!$E$11,I257*'模板使用说明&amp;基础参数'!$E$7*'模板使用说明&amp;基础参数'!$E$10)))))</f>
        <v>1.06666666666667</v>
      </c>
      <c r="M257" s="95"/>
      <c r="N257" s="99"/>
      <c r="O257" s="100"/>
    </row>
    <row r="258" s="70" customFormat="1" ht="25" customHeight="1" spans="1:15">
      <c r="A258" s="93">
        <v>253</v>
      </c>
      <c r="B258" s="94" t="s">
        <v>72</v>
      </c>
      <c r="C258" s="95" t="s">
        <v>73</v>
      </c>
      <c r="D258" s="95" t="s">
        <v>74</v>
      </c>
      <c r="E258" s="95" t="s">
        <v>74</v>
      </c>
      <c r="F258" s="95" t="s">
        <v>594</v>
      </c>
      <c r="G258" s="95" t="s">
        <v>595</v>
      </c>
      <c r="H258" s="93" t="s">
        <v>84</v>
      </c>
      <c r="I258" s="96">
        <f>IF(H258="ILF",IF($C$1="预估功能点",'模板使用说明&amp;基础参数'!$E$15,7),IF(H258="EIF",IF($C$1="预估功能点",'模板使用说明&amp;基础参数'!$E$16,5),IF(H258="EI",IF($C$1="预估功能点",'模板使用说明&amp;基础参数'!$E$17,'模板使用说明&amp;基础参数'!$E$24),IF(H258="EO",IF($C$1="预估功能点",'模板使用说明&amp;基础参数'!$E$18,'模板使用说明&amp;基础参数'!$E$25),IF(H258="EQ",IF($C$1="预估功能点",'模板使用说明&amp;基础参数'!$E$19,'模板使用说明&amp;基础参数'!$E$26),"")))))</f>
        <v>4</v>
      </c>
      <c r="J258" s="97" t="s">
        <v>38</v>
      </c>
      <c r="K258" s="97" t="s">
        <v>78</v>
      </c>
      <c r="L258" s="98">
        <f>IF(I258="","",IF(J258="高",IF(K258="删除",I258*'模板使用说明&amp;基础参数'!$E$5*'模板使用说明&amp;基础参数'!$E$12,IF(K258="修改",I258*'模板使用说明&amp;基础参数'!$E$5*'模板使用说明&amp;基础参数'!$E$11,I258*'模板使用说明&amp;基础参数'!$E$5*'模板使用说明&amp;基础参数'!$E$10)),IF(J258="中",IF(K258="删除",I258*'模板使用说明&amp;基础参数'!$E$6*'模板使用说明&amp;基础参数'!$E$12,IF(K258="修改",I258*'模板使用说明&amp;基础参数'!$E$6*'模板使用说明&amp;基础参数'!$E$11,I258*'模板使用说明&amp;基础参数'!$E$6*'模板使用说明&amp;基础参数'!$E$10)),IF(K258="删除",I258*'模板使用说明&amp;基础参数'!$E$7*'模板使用说明&amp;基础参数'!$E$12,IF(K258="修改",I258*'模板使用说明&amp;基础参数'!$E$7*'模板使用说明&amp;基础参数'!$E$11,I258*'模板使用说明&amp;基础参数'!$E$7*'模板使用说明&amp;基础参数'!$E$10)))))</f>
        <v>1.06666666666667</v>
      </c>
      <c r="M258" s="95"/>
      <c r="N258" s="99"/>
      <c r="O258" s="100"/>
    </row>
    <row r="259" s="70" customFormat="1" ht="25" customHeight="1" spans="1:15">
      <c r="A259" s="93">
        <v>254</v>
      </c>
      <c r="B259" s="94" t="s">
        <v>72</v>
      </c>
      <c r="C259" s="95" t="s">
        <v>73</v>
      </c>
      <c r="D259" s="95" t="s">
        <v>74</v>
      </c>
      <c r="E259" s="95" t="s">
        <v>74</v>
      </c>
      <c r="F259" s="95" t="s">
        <v>596</v>
      </c>
      <c r="G259" s="95" t="s">
        <v>597</v>
      </c>
      <c r="H259" s="93" t="s">
        <v>84</v>
      </c>
      <c r="I259" s="96">
        <f>IF(H259="ILF",IF($C$1="预估功能点",'模板使用说明&amp;基础参数'!$E$15,7),IF(H259="EIF",IF($C$1="预估功能点",'模板使用说明&amp;基础参数'!$E$16,5),IF(H259="EI",IF($C$1="预估功能点",'模板使用说明&amp;基础参数'!$E$17,'模板使用说明&amp;基础参数'!$E$24),IF(H259="EO",IF($C$1="预估功能点",'模板使用说明&amp;基础参数'!$E$18,'模板使用说明&amp;基础参数'!$E$25),IF(H259="EQ",IF($C$1="预估功能点",'模板使用说明&amp;基础参数'!$E$19,'模板使用说明&amp;基础参数'!$E$26),"")))))</f>
        <v>4</v>
      </c>
      <c r="J259" s="97" t="s">
        <v>38</v>
      </c>
      <c r="K259" s="97" t="s">
        <v>78</v>
      </c>
      <c r="L259" s="98">
        <f>IF(I259="","",IF(J259="高",IF(K259="删除",I259*'模板使用说明&amp;基础参数'!$E$5*'模板使用说明&amp;基础参数'!$E$12,IF(K259="修改",I259*'模板使用说明&amp;基础参数'!$E$5*'模板使用说明&amp;基础参数'!$E$11,I259*'模板使用说明&amp;基础参数'!$E$5*'模板使用说明&amp;基础参数'!$E$10)),IF(J259="中",IF(K259="删除",I259*'模板使用说明&amp;基础参数'!$E$6*'模板使用说明&amp;基础参数'!$E$12,IF(K259="修改",I259*'模板使用说明&amp;基础参数'!$E$6*'模板使用说明&amp;基础参数'!$E$11,I259*'模板使用说明&amp;基础参数'!$E$6*'模板使用说明&amp;基础参数'!$E$10)),IF(K259="删除",I259*'模板使用说明&amp;基础参数'!$E$7*'模板使用说明&amp;基础参数'!$E$12,IF(K259="修改",I259*'模板使用说明&amp;基础参数'!$E$7*'模板使用说明&amp;基础参数'!$E$11,I259*'模板使用说明&amp;基础参数'!$E$7*'模板使用说明&amp;基础参数'!$E$10)))))</f>
        <v>1.06666666666667</v>
      </c>
      <c r="M259" s="95"/>
      <c r="N259" s="99"/>
      <c r="O259" s="100"/>
    </row>
    <row r="260" s="70" customFormat="1" ht="25" customHeight="1" spans="1:15">
      <c r="A260" s="93">
        <v>255</v>
      </c>
      <c r="B260" s="94" t="s">
        <v>72</v>
      </c>
      <c r="C260" s="95" t="s">
        <v>73</v>
      </c>
      <c r="D260" s="95" t="s">
        <v>74</v>
      </c>
      <c r="E260" s="95" t="s">
        <v>74</v>
      </c>
      <c r="F260" s="95" t="s">
        <v>598</v>
      </c>
      <c r="G260" s="95" t="s">
        <v>599</v>
      </c>
      <c r="H260" s="93" t="s">
        <v>84</v>
      </c>
      <c r="I260" s="96">
        <f>IF(H260="ILF",IF($C$1="预估功能点",'模板使用说明&amp;基础参数'!$E$15,7),IF(H260="EIF",IF($C$1="预估功能点",'模板使用说明&amp;基础参数'!$E$16,5),IF(H260="EI",IF($C$1="预估功能点",'模板使用说明&amp;基础参数'!$E$17,'模板使用说明&amp;基础参数'!$E$24),IF(H260="EO",IF($C$1="预估功能点",'模板使用说明&amp;基础参数'!$E$18,'模板使用说明&amp;基础参数'!$E$25),IF(H260="EQ",IF($C$1="预估功能点",'模板使用说明&amp;基础参数'!$E$19,'模板使用说明&amp;基础参数'!$E$26),"")))))</f>
        <v>4</v>
      </c>
      <c r="J260" s="97" t="s">
        <v>38</v>
      </c>
      <c r="K260" s="97" t="s">
        <v>78</v>
      </c>
      <c r="L260" s="98">
        <f>IF(I260="","",IF(J260="高",IF(K260="删除",I260*'模板使用说明&amp;基础参数'!$E$5*'模板使用说明&amp;基础参数'!$E$12,IF(K260="修改",I260*'模板使用说明&amp;基础参数'!$E$5*'模板使用说明&amp;基础参数'!$E$11,I260*'模板使用说明&amp;基础参数'!$E$5*'模板使用说明&amp;基础参数'!$E$10)),IF(J260="中",IF(K260="删除",I260*'模板使用说明&amp;基础参数'!$E$6*'模板使用说明&amp;基础参数'!$E$12,IF(K260="修改",I260*'模板使用说明&amp;基础参数'!$E$6*'模板使用说明&amp;基础参数'!$E$11,I260*'模板使用说明&amp;基础参数'!$E$6*'模板使用说明&amp;基础参数'!$E$10)),IF(K260="删除",I260*'模板使用说明&amp;基础参数'!$E$7*'模板使用说明&amp;基础参数'!$E$12,IF(K260="修改",I260*'模板使用说明&amp;基础参数'!$E$7*'模板使用说明&amp;基础参数'!$E$11,I260*'模板使用说明&amp;基础参数'!$E$7*'模板使用说明&amp;基础参数'!$E$10)))))</f>
        <v>1.06666666666667</v>
      </c>
      <c r="M260" s="95"/>
      <c r="N260" s="99"/>
      <c r="O260" s="100"/>
    </row>
    <row r="261" s="70" customFormat="1" ht="25" customHeight="1" spans="1:15">
      <c r="A261" s="93">
        <v>256</v>
      </c>
      <c r="B261" s="94" t="s">
        <v>72</v>
      </c>
      <c r="C261" s="95" t="s">
        <v>73</v>
      </c>
      <c r="D261" s="95" t="s">
        <v>74</v>
      </c>
      <c r="E261" s="95" t="s">
        <v>74</v>
      </c>
      <c r="F261" s="95" t="s">
        <v>600</v>
      </c>
      <c r="G261" s="95" t="s">
        <v>601</v>
      </c>
      <c r="H261" s="93" t="s">
        <v>77</v>
      </c>
      <c r="I261" s="96">
        <f>IF(H261="ILF",IF($C$1="预估功能点",'模板使用说明&amp;基础参数'!$E$15,7),IF(H261="EIF",IF($C$1="预估功能点",'模板使用说明&amp;基础参数'!$E$16,5),IF(H261="EI",IF($C$1="预估功能点",'模板使用说明&amp;基础参数'!$E$17,'模板使用说明&amp;基础参数'!$E$24),IF(H261="EO",IF($C$1="预估功能点",'模板使用说明&amp;基础参数'!$E$18,'模板使用说明&amp;基础参数'!$E$25),IF(H261="EQ",IF($C$1="预估功能点",'模板使用说明&amp;基础参数'!$E$19,'模板使用说明&amp;基础参数'!$E$26),"")))))</f>
        <v>7</v>
      </c>
      <c r="J261" s="97" t="s">
        <v>38</v>
      </c>
      <c r="K261" s="97" t="s">
        <v>78</v>
      </c>
      <c r="L261" s="98">
        <f>IF(I261="","",IF(J261="高",IF(K261="删除",I261*'模板使用说明&amp;基础参数'!$E$5*'模板使用说明&amp;基础参数'!$E$12,IF(K261="修改",I261*'模板使用说明&amp;基础参数'!$E$5*'模板使用说明&amp;基础参数'!$E$11,I261*'模板使用说明&amp;基础参数'!$E$5*'模板使用说明&amp;基础参数'!$E$10)),IF(J261="中",IF(K261="删除",I261*'模板使用说明&amp;基础参数'!$E$6*'模板使用说明&amp;基础参数'!$E$12,IF(K261="修改",I261*'模板使用说明&amp;基础参数'!$E$6*'模板使用说明&amp;基础参数'!$E$11,I261*'模板使用说明&amp;基础参数'!$E$6*'模板使用说明&amp;基础参数'!$E$10)),IF(K261="删除",I261*'模板使用说明&amp;基础参数'!$E$7*'模板使用说明&amp;基础参数'!$E$12,IF(K261="修改",I261*'模板使用说明&amp;基础参数'!$E$7*'模板使用说明&amp;基础参数'!$E$11,I261*'模板使用说明&amp;基础参数'!$E$7*'模板使用说明&amp;基础参数'!$E$10)))))</f>
        <v>1.86666666666666</v>
      </c>
      <c r="M261" s="95"/>
      <c r="N261" s="99"/>
      <c r="O261" s="100"/>
    </row>
    <row r="262" s="70" customFormat="1" ht="25" customHeight="1" spans="1:15">
      <c r="A262" s="93">
        <v>257</v>
      </c>
      <c r="B262" s="94" t="s">
        <v>72</v>
      </c>
      <c r="C262" s="95" t="s">
        <v>73</v>
      </c>
      <c r="D262" s="95" t="s">
        <v>74</v>
      </c>
      <c r="E262" s="95" t="s">
        <v>74</v>
      </c>
      <c r="F262" s="95" t="s">
        <v>602</v>
      </c>
      <c r="G262" s="95" t="s">
        <v>603</v>
      </c>
      <c r="H262" s="93" t="s">
        <v>81</v>
      </c>
      <c r="I262" s="96">
        <f>IF(H262="ILF",IF($C$1="预估功能点",'模板使用说明&amp;基础参数'!$E$15,7),IF(H262="EIF",IF($C$1="预估功能点",'模板使用说明&amp;基础参数'!$E$16,5),IF(H262="EI",IF($C$1="预估功能点",'模板使用说明&amp;基础参数'!$E$17,'模板使用说明&amp;基础参数'!$E$24),IF(H262="EO",IF($C$1="预估功能点",'模板使用说明&amp;基础参数'!$E$18,'模板使用说明&amp;基础参数'!$E$25),IF(H262="EQ",IF($C$1="预估功能点",'模板使用说明&amp;基础参数'!$E$19,'模板使用说明&amp;基础参数'!$E$26),"")))))</f>
        <v>4</v>
      </c>
      <c r="J262" s="97" t="s">
        <v>38</v>
      </c>
      <c r="K262" s="97" t="s">
        <v>78</v>
      </c>
      <c r="L262" s="98">
        <f>IF(I262="","",IF(J262="高",IF(K262="删除",I262*'模板使用说明&amp;基础参数'!$E$5*'模板使用说明&amp;基础参数'!$E$12,IF(K262="修改",I262*'模板使用说明&amp;基础参数'!$E$5*'模板使用说明&amp;基础参数'!$E$11,I262*'模板使用说明&amp;基础参数'!$E$5*'模板使用说明&amp;基础参数'!$E$10)),IF(J262="中",IF(K262="删除",I262*'模板使用说明&amp;基础参数'!$E$6*'模板使用说明&amp;基础参数'!$E$12,IF(K262="修改",I262*'模板使用说明&amp;基础参数'!$E$6*'模板使用说明&amp;基础参数'!$E$11,I262*'模板使用说明&amp;基础参数'!$E$6*'模板使用说明&amp;基础参数'!$E$10)),IF(K262="删除",I262*'模板使用说明&amp;基础参数'!$E$7*'模板使用说明&amp;基础参数'!$E$12,IF(K262="修改",I262*'模板使用说明&amp;基础参数'!$E$7*'模板使用说明&amp;基础参数'!$E$11,I262*'模板使用说明&amp;基础参数'!$E$7*'模板使用说明&amp;基础参数'!$E$10)))))</f>
        <v>1.06666666666667</v>
      </c>
      <c r="M262" s="95"/>
      <c r="N262" s="99"/>
      <c r="O262" s="100"/>
    </row>
    <row r="263" s="70" customFormat="1" ht="25" customHeight="1" spans="1:15">
      <c r="A263" s="93">
        <v>258</v>
      </c>
      <c r="B263" s="94" t="s">
        <v>72</v>
      </c>
      <c r="C263" s="95" t="s">
        <v>73</v>
      </c>
      <c r="D263" s="95" t="s">
        <v>74</v>
      </c>
      <c r="E263" s="95" t="s">
        <v>74</v>
      </c>
      <c r="F263" s="95" t="s">
        <v>604</v>
      </c>
      <c r="G263" s="95" t="s">
        <v>605</v>
      </c>
      <c r="H263" s="93" t="s">
        <v>84</v>
      </c>
      <c r="I263" s="96">
        <f>IF(H263="ILF",IF($C$1="预估功能点",'模板使用说明&amp;基础参数'!$E$15,7),IF(H263="EIF",IF($C$1="预估功能点",'模板使用说明&amp;基础参数'!$E$16,5),IF(H263="EI",IF($C$1="预估功能点",'模板使用说明&amp;基础参数'!$E$17,'模板使用说明&amp;基础参数'!$E$24),IF(H263="EO",IF($C$1="预估功能点",'模板使用说明&amp;基础参数'!$E$18,'模板使用说明&amp;基础参数'!$E$25),IF(H263="EQ",IF($C$1="预估功能点",'模板使用说明&amp;基础参数'!$E$19,'模板使用说明&amp;基础参数'!$E$26),"")))))</f>
        <v>4</v>
      </c>
      <c r="J263" s="97" t="s">
        <v>38</v>
      </c>
      <c r="K263" s="97" t="s">
        <v>78</v>
      </c>
      <c r="L263" s="98">
        <f>IF(I263="","",IF(J263="高",IF(K263="删除",I263*'模板使用说明&amp;基础参数'!$E$5*'模板使用说明&amp;基础参数'!$E$12,IF(K263="修改",I263*'模板使用说明&amp;基础参数'!$E$5*'模板使用说明&amp;基础参数'!$E$11,I263*'模板使用说明&amp;基础参数'!$E$5*'模板使用说明&amp;基础参数'!$E$10)),IF(J263="中",IF(K263="删除",I263*'模板使用说明&amp;基础参数'!$E$6*'模板使用说明&amp;基础参数'!$E$12,IF(K263="修改",I263*'模板使用说明&amp;基础参数'!$E$6*'模板使用说明&amp;基础参数'!$E$11,I263*'模板使用说明&amp;基础参数'!$E$6*'模板使用说明&amp;基础参数'!$E$10)),IF(K263="删除",I263*'模板使用说明&amp;基础参数'!$E$7*'模板使用说明&amp;基础参数'!$E$12,IF(K263="修改",I263*'模板使用说明&amp;基础参数'!$E$7*'模板使用说明&amp;基础参数'!$E$11,I263*'模板使用说明&amp;基础参数'!$E$7*'模板使用说明&amp;基础参数'!$E$10)))))</f>
        <v>1.06666666666667</v>
      </c>
      <c r="M263" s="95"/>
      <c r="N263" s="99"/>
      <c r="O263" s="100"/>
    </row>
    <row r="264" s="70" customFormat="1" ht="25" customHeight="1" spans="1:15">
      <c r="A264" s="93">
        <v>259</v>
      </c>
      <c r="B264" s="94" t="s">
        <v>72</v>
      </c>
      <c r="C264" s="95" t="s">
        <v>73</v>
      </c>
      <c r="D264" s="95" t="s">
        <v>74</v>
      </c>
      <c r="E264" s="95" t="s">
        <v>74</v>
      </c>
      <c r="F264" s="95" t="s">
        <v>606</v>
      </c>
      <c r="G264" s="95" t="s">
        <v>607</v>
      </c>
      <c r="H264" s="93" t="s">
        <v>84</v>
      </c>
      <c r="I264" s="96">
        <f>IF(H264="ILF",IF($C$1="预估功能点",'模板使用说明&amp;基础参数'!$E$15,7),IF(H264="EIF",IF($C$1="预估功能点",'模板使用说明&amp;基础参数'!$E$16,5),IF(H264="EI",IF($C$1="预估功能点",'模板使用说明&amp;基础参数'!$E$17,'模板使用说明&amp;基础参数'!$E$24),IF(H264="EO",IF($C$1="预估功能点",'模板使用说明&amp;基础参数'!$E$18,'模板使用说明&amp;基础参数'!$E$25),IF(H264="EQ",IF($C$1="预估功能点",'模板使用说明&amp;基础参数'!$E$19,'模板使用说明&amp;基础参数'!$E$26),"")))))</f>
        <v>4</v>
      </c>
      <c r="J264" s="97" t="s">
        <v>38</v>
      </c>
      <c r="K264" s="97" t="s">
        <v>78</v>
      </c>
      <c r="L264" s="98">
        <f>IF(I264="","",IF(J264="高",IF(K264="删除",I264*'模板使用说明&amp;基础参数'!$E$5*'模板使用说明&amp;基础参数'!$E$12,IF(K264="修改",I264*'模板使用说明&amp;基础参数'!$E$5*'模板使用说明&amp;基础参数'!$E$11,I264*'模板使用说明&amp;基础参数'!$E$5*'模板使用说明&amp;基础参数'!$E$10)),IF(J264="中",IF(K264="删除",I264*'模板使用说明&amp;基础参数'!$E$6*'模板使用说明&amp;基础参数'!$E$12,IF(K264="修改",I264*'模板使用说明&amp;基础参数'!$E$6*'模板使用说明&amp;基础参数'!$E$11,I264*'模板使用说明&amp;基础参数'!$E$6*'模板使用说明&amp;基础参数'!$E$10)),IF(K264="删除",I264*'模板使用说明&amp;基础参数'!$E$7*'模板使用说明&amp;基础参数'!$E$12,IF(K264="修改",I264*'模板使用说明&amp;基础参数'!$E$7*'模板使用说明&amp;基础参数'!$E$11,I264*'模板使用说明&amp;基础参数'!$E$7*'模板使用说明&amp;基础参数'!$E$10)))))</f>
        <v>1.06666666666667</v>
      </c>
      <c r="M264" s="95"/>
      <c r="N264" s="99"/>
      <c r="O264" s="100"/>
    </row>
    <row r="265" s="70" customFormat="1" ht="25" customHeight="1" spans="1:15">
      <c r="A265" s="93">
        <v>260</v>
      </c>
      <c r="B265" s="94" t="s">
        <v>72</v>
      </c>
      <c r="C265" s="95" t="s">
        <v>73</v>
      </c>
      <c r="D265" s="95" t="s">
        <v>74</v>
      </c>
      <c r="E265" s="95" t="s">
        <v>74</v>
      </c>
      <c r="F265" s="95" t="s">
        <v>608</v>
      </c>
      <c r="G265" s="95" t="s">
        <v>609</v>
      </c>
      <c r="H265" s="93" t="s">
        <v>84</v>
      </c>
      <c r="I265" s="96">
        <f>IF(H265="ILF",IF($C$1="预估功能点",'模板使用说明&amp;基础参数'!$E$15,7),IF(H265="EIF",IF($C$1="预估功能点",'模板使用说明&amp;基础参数'!$E$16,5),IF(H265="EI",IF($C$1="预估功能点",'模板使用说明&amp;基础参数'!$E$17,'模板使用说明&amp;基础参数'!$E$24),IF(H265="EO",IF($C$1="预估功能点",'模板使用说明&amp;基础参数'!$E$18,'模板使用说明&amp;基础参数'!$E$25),IF(H265="EQ",IF($C$1="预估功能点",'模板使用说明&amp;基础参数'!$E$19,'模板使用说明&amp;基础参数'!$E$26),"")))))</f>
        <v>4</v>
      </c>
      <c r="J265" s="97" t="s">
        <v>38</v>
      </c>
      <c r="K265" s="97" t="s">
        <v>78</v>
      </c>
      <c r="L265" s="98">
        <f>IF(I265="","",IF(J265="高",IF(K265="删除",I265*'模板使用说明&amp;基础参数'!$E$5*'模板使用说明&amp;基础参数'!$E$12,IF(K265="修改",I265*'模板使用说明&amp;基础参数'!$E$5*'模板使用说明&amp;基础参数'!$E$11,I265*'模板使用说明&amp;基础参数'!$E$5*'模板使用说明&amp;基础参数'!$E$10)),IF(J265="中",IF(K265="删除",I265*'模板使用说明&amp;基础参数'!$E$6*'模板使用说明&amp;基础参数'!$E$12,IF(K265="修改",I265*'模板使用说明&amp;基础参数'!$E$6*'模板使用说明&amp;基础参数'!$E$11,I265*'模板使用说明&amp;基础参数'!$E$6*'模板使用说明&amp;基础参数'!$E$10)),IF(K265="删除",I265*'模板使用说明&amp;基础参数'!$E$7*'模板使用说明&amp;基础参数'!$E$12,IF(K265="修改",I265*'模板使用说明&amp;基础参数'!$E$7*'模板使用说明&amp;基础参数'!$E$11,I265*'模板使用说明&amp;基础参数'!$E$7*'模板使用说明&amp;基础参数'!$E$10)))))</f>
        <v>1.06666666666667</v>
      </c>
      <c r="M265" s="95"/>
      <c r="N265" s="99"/>
      <c r="O265" s="100"/>
    </row>
    <row r="266" s="70" customFormat="1" ht="25" customHeight="1" spans="1:15">
      <c r="A266" s="93">
        <v>261</v>
      </c>
      <c r="B266" s="94" t="s">
        <v>72</v>
      </c>
      <c r="C266" s="95" t="s">
        <v>129</v>
      </c>
      <c r="D266" s="95" t="s">
        <v>130</v>
      </c>
      <c r="E266" s="95" t="s">
        <v>130</v>
      </c>
      <c r="F266" s="95" t="s">
        <v>610</v>
      </c>
      <c r="G266" s="95" t="s">
        <v>611</v>
      </c>
      <c r="H266" s="93" t="s">
        <v>77</v>
      </c>
      <c r="I266" s="96">
        <f>IF(H266="ILF",IF($C$1="预估功能点",'模板使用说明&amp;基础参数'!$E$15,7),IF(H266="EIF",IF($C$1="预估功能点",'模板使用说明&amp;基础参数'!$E$16,5),IF(H266="EI",IF($C$1="预估功能点",'模板使用说明&amp;基础参数'!$E$17,'模板使用说明&amp;基础参数'!$E$24),IF(H266="EO",IF($C$1="预估功能点",'模板使用说明&amp;基础参数'!$E$18,'模板使用说明&amp;基础参数'!$E$25),IF(H266="EQ",IF($C$1="预估功能点",'模板使用说明&amp;基础参数'!$E$19,'模板使用说明&amp;基础参数'!$E$26),"")))))</f>
        <v>7</v>
      </c>
      <c r="J266" s="97" t="s">
        <v>38</v>
      </c>
      <c r="K266" s="97" t="s">
        <v>78</v>
      </c>
      <c r="L266" s="98">
        <f>IF(I266="","",IF(J266="高",IF(K266="删除",I266*'模板使用说明&amp;基础参数'!$E$5*'模板使用说明&amp;基础参数'!$E$12,IF(K266="修改",I266*'模板使用说明&amp;基础参数'!$E$5*'模板使用说明&amp;基础参数'!$E$11,I266*'模板使用说明&amp;基础参数'!$E$5*'模板使用说明&amp;基础参数'!$E$10)),IF(J266="中",IF(K266="删除",I266*'模板使用说明&amp;基础参数'!$E$6*'模板使用说明&amp;基础参数'!$E$12,IF(K266="修改",I266*'模板使用说明&amp;基础参数'!$E$6*'模板使用说明&amp;基础参数'!$E$11,I266*'模板使用说明&amp;基础参数'!$E$6*'模板使用说明&amp;基础参数'!$E$10)),IF(K266="删除",I266*'模板使用说明&amp;基础参数'!$E$7*'模板使用说明&amp;基础参数'!$E$12,IF(K266="修改",I266*'模板使用说明&amp;基础参数'!$E$7*'模板使用说明&amp;基础参数'!$E$11,I266*'模板使用说明&amp;基础参数'!$E$7*'模板使用说明&amp;基础参数'!$E$10)))))</f>
        <v>1.86666666666666</v>
      </c>
      <c r="M266" s="95"/>
      <c r="N266" s="99"/>
      <c r="O266" s="100"/>
    </row>
    <row r="267" s="70" customFormat="1" ht="25" customHeight="1" spans="1:15">
      <c r="A267" s="93">
        <v>262</v>
      </c>
      <c r="B267" s="94" t="s">
        <v>72</v>
      </c>
      <c r="C267" s="95" t="s">
        <v>129</v>
      </c>
      <c r="D267" s="95" t="s">
        <v>130</v>
      </c>
      <c r="E267" s="95" t="s">
        <v>130</v>
      </c>
      <c r="F267" s="95" t="s">
        <v>612</v>
      </c>
      <c r="G267" s="95" t="s">
        <v>613</v>
      </c>
      <c r="H267" s="93" t="s">
        <v>135</v>
      </c>
      <c r="I267" s="96">
        <f>IF(H267="ILF",IF($C$1="预估功能点",'模板使用说明&amp;基础参数'!$E$15,7),IF(H267="EIF",IF($C$1="预估功能点",'模板使用说明&amp;基础参数'!$E$16,5),IF(H267="EI",IF($C$1="预估功能点",'模板使用说明&amp;基础参数'!$E$17,'模板使用说明&amp;基础参数'!$E$24),IF(H267="EO",IF($C$1="预估功能点",'模板使用说明&amp;基础参数'!$E$18,'模板使用说明&amp;基础参数'!$E$25),IF(H267="EQ",IF($C$1="预估功能点",'模板使用说明&amp;基础参数'!$E$19,'模板使用说明&amp;基础参数'!$E$26),"")))))</f>
        <v>5</v>
      </c>
      <c r="J267" s="97" t="s">
        <v>38</v>
      </c>
      <c r="K267" s="97" t="s">
        <v>78</v>
      </c>
      <c r="L267" s="98">
        <f>IF(I267="","",IF(J267="高",IF(K267="删除",I267*'模板使用说明&amp;基础参数'!$E$5*'模板使用说明&amp;基础参数'!$E$12,IF(K267="修改",I267*'模板使用说明&amp;基础参数'!$E$5*'模板使用说明&amp;基础参数'!$E$11,I267*'模板使用说明&amp;基础参数'!$E$5*'模板使用说明&amp;基础参数'!$E$10)),IF(J267="中",IF(K267="删除",I267*'模板使用说明&amp;基础参数'!$E$6*'模板使用说明&amp;基础参数'!$E$12,IF(K267="修改",I267*'模板使用说明&amp;基础参数'!$E$6*'模板使用说明&amp;基础参数'!$E$11,I267*'模板使用说明&amp;基础参数'!$E$6*'模板使用说明&amp;基础参数'!$E$10)),IF(K267="删除",I267*'模板使用说明&amp;基础参数'!$E$7*'模板使用说明&amp;基础参数'!$E$12,IF(K267="修改",I267*'模板使用说明&amp;基础参数'!$E$7*'模板使用说明&amp;基础参数'!$E$11,I267*'模板使用说明&amp;基础参数'!$E$7*'模板使用说明&amp;基础参数'!$E$10)))))</f>
        <v>1.33333333333333</v>
      </c>
      <c r="M267" s="95"/>
      <c r="N267" s="99"/>
      <c r="O267" s="100"/>
    </row>
    <row r="268" s="70" customFormat="1" ht="25" customHeight="1" spans="1:15">
      <c r="A268" s="93">
        <v>263</v>
      </c>
      <c r="B268" s="94" t="s">
        <v>72</v>
      </c>
      <c r="C268" s="95" t="s">
        <v>129</v>
      </c>
      <c r="D268" s="95" t="s">
        <v>130</v>
      </c>
      <c r="E268" s="95" t="s">
        <v>130</v>
      </c>
      <c r="F268" s="95" t="s">
        <v>614</v>
      </c>
      <c r="G268" s="95" t="s">
        <v>615</v>
      </c>
      <c r="H268" s="93" t="s">
        <v>81</v>
      </c>
      <c r="I268" s="96">
        <f>IF(H268="ILF",IF($C$1="预估功能点",'模板使用说明&amp;基础参数'!$E$15,7),IF(H268="EIF",IF($C$1="预估功能点",'模板使用说明&amp;基础参数'!$E$16,5),IF(H268="EI",IF($C$1="预估功能点",'模板使用说明&amp;基础参数'!$E$17,'模板使用说明&amp;基础参数'!$E$24),IF(H268="EO",IF($C$1="预估功能点",'模板使用说明&amp;基础参数'!$E$18,'模板使用说明&amp;基础参数'!$E$25),IF(H268="EQ",IF($C$1="预估功能点",'模板使用说明&amp;基础参数'!$E$19,'模板使用说明&amp;基础参数'!$E$26),"")))))</f>
        <v>4</v>
      </c>
      <c r="J268" s="97" t="s">
        <v>38</v>
      </c>
      <c r="K268" s="97" t="s">
        <v>78</v>
      </c>
      <c r="L268" s="98">
        <f>IF(I268="","",IF(J268="高",IF(K268="删除",I268*'模板使用说明&amp;基础参数'!$E$5*'模板使用说明&amp;基础参数'!$E$12,IF(K268="修改",I268*'模板使用说明&amp;基础参数'!$E$5*'模板使用说明&amp;基础参数'!$E$11,I268*'模板使用说明&amp;基础参数'!$E$5*'模板使用说明&amp;基础参数'!$E$10)),IF(J268="中",IF(K268="删除",I268*'模板使用说明&amp;基础参数'!$E$6*'模板使用说明&amp;基础参数'!$E$12,IF(K268="修改",I268*'模板使用说明&amp;基础参数'!$E$6*'模板使用说明&amp;基础参数'!$E$11,I268*'模板使用说明&amp;基础参数'!$E$6*'模板使用说明&amp;基础参数'!$E$10)),IF(K268="删除",I268*'模板使用说明&amp;基础参数'!$E$7*'模板使用说明&amp;基础参数'!$E$12,IF(K268="修改",I268*'模板使用说明&amp;基础参数'!$E$7*'模板使用说明&amp;基础参数'!$E$11,I268*'模板使用说明&amp;基础参数'!$E$7*'模板使用说明&amp;基础参数'!$E$10)))))</f>
        <v>1.06666666666667</v>
      </c>
      <c r="M268" s="95"/>
      <c r="N268" s="99"/>
      <c r="O268" s="100"/>
    </row>
    <row r="269" s="70" customFormat="1" ht="25" customHeight="1" spans="1:15">
      <c r="A269" s="93">
        <v>264</v>
      </c>
      <c r="B269" s="94" t="s">
        <v>72</v>
      </c>
      <c r="C269" s="95" t="s">
        <v>129</v>
      </c>
      <c r="D269" s="95" t="s">
        <v>130</v>
      </c>
      <c r="E269" s="95" t="s">
        <v>130</v>
      </c>
      <c r="F269" s="95" t="s">
        <v>616</v>
      </c>
      <c r="G269" s="95" t="s">
        <v>617</v>
      </c>
      <c r="H269" s="93" t="s">
        <v>84</v>
      </c>
      <c r="I269" s="96">
        <f>IF(H269="ILF",IF($C$1="预估功能点",'模板使用说明&amp;基础参数'!$E$15,7),IF(H269="EIF",IF($C$1="预估功能点",'模板使用说明&amp;基础参数'!$E$16,5),IF(H269="EI",IF($C$1="预估功能点",'模板使用说明&amp;基础参数'!$E$17,'模板使用说明&amp;基础参数'!$E$24),IF(H269="EO",IF($C$1="预估功能点",'模板使用说明&amp;基础参数'!$E$18,'模板使用说明&amp;基础参数'!$E$25),IF(H269="EQ",IF($C$1="预估功能点",'模板使用说明&amp;基础参数'!$E$19,'模板使用说明&amp;基础参数'!$E$26),"")))))</f>
        <v>4</v>
      </c>
      <c r="J269" s="97" t="s">
        <v>38</v>
      </c>
      <c r="K269" s="97" t="s">
        <v>78</v>
      </c>
      <c r="L269" s="98">
        <f>IF(I269="","",IF(J269="高",IF(K269="删除",I269*'模板使用说明&amp;基础参数'!$E$5*'模板使用说明&amp;基础参数'!$E$12,IF(K269="修改",I269*'模板使用说明&amp;基础参数'!$E$5*'模板使用说明&amp;基础参数'!$E$11,I269*'模板使用说明&amp;基础参数'!$E$5*'模板使用说明&amp;基础参数'!$E$10)),IF(J269="中",IF(K269="删除",I269*'模板使用说明&amp;基础参数'!$E$6*'模板使用说明&amp;基础参数'!$E$12,IF(K269="修改",I269*'模板使用说明&amp;基础参数'!$E$6*'模板使用说明&amp;基础参数'!$E$11,I269*'模板使用说明&amp;基础参数'!$E$6*'模板使用说明&amp;基础参数'!$E$10)),IF(K269="删除",I269*'模板使用说明&amp;基础参数'!$E$7*'模板使用说明&amp;基础参数'!$E$12,IF(K269="修改",I269*'模板使用说明&amp;基础参数'!$E$7*'模板使用说明&amp;基础参数'!$E$11,I269*'模板使用说明&amp;基础参数'!$E$7*'模板使用说明&amp;基础参数'!$E$10)))))</f>
        <v>1.06666666666667</v>
      </c>
      <c r="M269" s="95"/>
      <c r="N269" s="99"/>
      <c r="O269" s="100"/>
    </row>
    <row r="270" s="70" customFormat="1" ht="25" customHeight="1" spans="1:15">
      <c r="A270" s="93">
        <v>265</v>
      </c>
      <c r="B270" s="94" t="s">
        <v>72</v>
      </c>
      <c r="C270" s="95" t="s">
        <v>129</v>
      </c>
      <c r="D270" s="95" t="s">
        <v>130</v>
      </c>
      <c r="E270" s="95" t="s">
        <v>130</v>
      </c>
      <c r="F270" s="95" t="s">
        <v>618</v>
      </c>
      <c r="G270" s="95" t="s">
        <v>619</v>
      </c>
      <c r="H270" s="93" t="s">
        <v>84</v>
      </c>
      <c r="I270" s="96">
        <f>IF(H270="ILF",IF($C$1="预估功能点",'模板使用说明&amp;基础参数'!$E$15,7),IF(H270="EIF",IF($C$1="预估功能点",'模板使用说明&amp;基础参数'!$E$16,5),IF(H270="EI",IF($C$1="预估功能点",'模板使用说明&amp;基础参数'!$E$17,'模板使用说明&amp;基础参数'!$E$24),IF(H270="EO",IF($C$1="预估功能点",'模板使用说明&amp;基础参数'!$E$18,'模板使用说明&amp;基础参数'!$E$25),IF(H270="EQ",IF($C$1="预估功能点",'模板使用说明&amp;基础参数'!$E$19,'模板使用说明&amp;基础参数'!$E$26),"")))))</f>
        <v>4</v>
      </c>
      <c r="J270" s="97" t="s">
        <v>38</v>
      </c>
      <c r="K270" s="97" t="s">
        <v>78</v>
      </c>
      <c r="L270" s="98">
        <f>IF(I270="","",IF(J270="高",IF(K270="删除",I270*'模板使用说明&amp;基础参数'!$E$5*'模板使用说明&amp;基础参数'!$E$12,IF(K270="修改",I270*'模板使用说明&amp;基础参数'!$E$5*'模板使用说明&amp;基础参数'!$E$11,I270*'模板使用说明&amp;基础参数'!$E$5*'模板使用说明&amp;基础参数'!$E$10)),IF(J270="中",IF(K270="删除",I270*'模板使用说明&amp;基础参数'!$E$6*'模板使用说明&amp;基础参数'!$E$12,IF(K270="修改",I270*'模板使用说明&amp;基础参数'!$E$6*'模板使用说明&amp;基础参数'!$E$11,I270*'模板使用说明&amp;基础参数'!$E$6*'模板使用说明&amp;基础参数'!$E$10)),IF(K270="删除",I270*'模板使用说明&amp;基础参数'!$E$7*'模板使用说明&amp;基础参数'!$E$12,IF(K270="修改",I270*'模板使用说明&amp;基础参数'!$E$7*'模板使用说明&amp;基础参数'!$E$11,I270*'模板使用说明&amp;基础参数'!$E$7*'模板使用说明&amp;基础参数'!$E$10)))))</f>
        <v>1.06666666666667</v>
      </c>
      <c r="M270" s="95"/>
      <c r="N270" s="99"/>
      <c r="O270" s="100"/>
    </row>
    <row r="271" s="70" customFormat="1" ht="25" customHeight="1" spans="1:15">
      <c r="A271" s="93">
        <v>266</v>
      </c>
      <c r="B271" s="94" t="s">
        <v>72</v>
      </c>
      <c r="C271" s="95" t="s">
        <v>129</v>
      </c>
      <c r="D271" s="95" t="s">
        <v>130</v>
      </c>
      <c r="E271" s="95" t="s">
        <v>130</v>
      </c>
      <c r="F271" s="95" t="s">
        <v>620</v>
      </c>
      <c r="G271" s="95" t="s">
        <v>621</v>
      </c>
      <c r="H271" s="93" t="s">
        <v>84</v>
      </c>
      <c r="I271" s="96">
        <f>IF(H271="ILF",IF($C$1="预估功能点",'模板使用说明&amp;基础参数'!$E$15,7),IF(H271="EIF",IF($C$1="预估功能点",'模板使用说明&amp;基础参数'!$E$16,5),IF(H271="EI",IF($C$1="预估功能点",'模板使用说明&amp;基础参数'!$E$17,'模板使用说明&amp;基础参数'!$E$24),IF(H271="EO",IF($C$1="预估功能点",'模板使用说明&amp;基础参数'!$E$18,'模板使用说明&amp;基础参数'!$E$25),IF(H271="EQ",IF($C$1="预估功能点",'模板使用说明&amp;基础参数'!$E$19,'模板使用说明&amp;基础参数'!$E$26),"")))))</f>
        <v>4</v>
      </c>
      <c r="J271" s="97" t="s">
        <v>38</v>
      </c>
      <c r="K271" s="97" t="s">
        <v>78</v>
      </c>
      <c r="L271" s="98">
        <f>IF(I271="","",IF(J271="高",IF(K271="删除",I271*'模板使用说明&amp;基础参数'!$E$5*'模板使用说明&amp;基础参数'!$E$12,IF(K271="修改",I271*'模板使用说明&amp;基础参数'!$E$5*'模板使用说明&amp;基础参数'!$E$11,I271*'模板使用说明&amp;基础参数'!$E$5*'模板使用说明&amp;基础参数'!$E$10)),IF(J271="中",IF(K271="删除",I271*'模板使用说明&amp;基础参数'!$E$6*'模板使用说明&amp;基础参数'!$E$12,IF(K271="修改",I271*'模板使用说明&amp;基础参数'!$E$6*'模板使用说明&amp;基础参数'!$E$11,I271*'模板使用说明&amp;基础参数'!$E$6*'模板使用说明&amp;基础参数'!$E$10)),IF(K271="删除",I271*'模板使用说明&amp;基础参数'!$E$7*'模板使用说明&amp;基础参数'!$E$12,IF(K271="修改",I271*'模板使用说明&amp;基础参数'!$E$7*'模板使用说明&amp;基础参数'!$E$11,I271*'模板使用说明&amp;基础参数'!$E$7*'模板使用说明&amp;基础参数'!$E$10)))))</f>
        <v>1.06666666666667</v>
      </c>
      <c r="M271" s="95"/>
      <c r="N271" s="99"/>
      <c r="O271" s="100"/>
    </row>
    <row r="272" s="70" customFormat="1" ht="25" customHeight="1" spans="1:15">
      <c r="A272" s="93">
        <v>267</v>
      </c>
      <c r="B272" s="94" t="s">
        <v>72</v>
      </c>
      <c r="C272" s="95" t="s">
        <v>144</v>
      </c>
      <c r="D272" s="95" t="s">
        <v>145</v>
      </c>
      <c r="E272" s="95" t="s">
        <v>145</v>
      </c>
      <c r="F272" s="95" t="s">
        <v>622</v>
      </c>
      <c r="G272" s="95" t="s">
        <v>623</v>
      </c>
      <c r="H272" s="93" t="s">
        <v>77</v>
      </c>
      <c r="I272" s="96">
        <f>IF(H272="ILF",IF($C$1="预估功能点",'模板使用说明&amp;基础参数'!$E$15,7),IF(H272="EIF",IF($C$1="预估功能点",'模板使用说明&amp;基础参数'!$E$16,5),IF(H272="EI",IF($C$1="预估功能点",'模板使用说明&amp;基础参数'!$E$17,'模板使用说明&amp;基础参数'!$E$24),IF(H272="EO",IF($C$1="预估功能点",'模板使用说明&amp;基础参数'!$E$18,'模板使用说明&amp;基础参数'!$E$25),IF(H272="EQ",IF($C$1="预估功能点",'模板使用说明&amp;基础参数'!$E$19,'模板使用说明&amp;基础参数'!$E$26),"")))))</f>
        <v>7</v>
      </c>
      <c r="J272" s="97" t="s">
        <v>38</v>
      </c>
      <c r="K272" s="97" t="s">
        <v>78</v>
      </c>
      <c r="L272" s="98">
        <f>IF(I272="","",IF(J272="高",IF(K272="删除",I272*'模板使用说明&amp;基础参数'!$E$5*'模板使用说明&amp;基础参数'!$E$12,IF(K272="修改",I272*'模板使用说明&amp;基础参数'!$E$5*'模板使用说明&amp;基础参数'!$E$11,I272*'模板使用说明&amp;基础参数'!$E$5*'模板使用说明&amp;基础参数'!$E$10)),IF(J272="中",IF(K272="删除",I272*'模板使用说明&amp;基础参数'!$E$6*'模板使用说明&amp;基础参数'!$E$12,IF(K272="修改",I272*'模板使用说明&amp;基础参数'!$E$6*'模板使用说明&amp;基础参数'!$E$11,I272*'模板使用说明&amp;基础参数'!$E$6*'模板使用说明&amp;基础参数'!$E$10)),IF(K272="删除",I272*'模板使用说明&amp;基础参数'!$E$7*'模板使用说明&amp;基础参数'!$E$12,IF(K272="修改",I272*'模板使用说明&amp;基础参数'!$E$7*'模板使用说明&amp;基础参数'!$E$11,I272*'模板使用说明&amp;基础参数'!$E$7*'模板使用说明&amp;基础参数'!$E$10)))))</f>
        <v>1.86666666666666</v>
      </c>
      <c r="M272" s="95"/>
      <c r="N272" s="99"/>
      <c r="O272" s="100"/>
    </row>
    <row r="273" s="70" customFormat="1" ht="25" customHeight="1" spans="1:15">
      <c r="A273" s="93">
        <v>268</v>
      </c>
      <c r="B273" s="94" t="s">
        <v>72</v>
      </c>
      <c r="C273" s="95" t="s">
        <v>144</v>
      </c>
      <c r="D273" s="95" t="s">
        <v>145</v>
      </c>
      <c r="E273" s="95" t="s">
        <v>145</v>
      </c>
      <c r="F273" s="95" t="s">
        <v>624</v>
      </c>
      <c r="G273" s="95" t="s">
        <v>625</v>
      </c>
      <c r="H273" s="93" t="s">
        <v>81</v>
      </c>
      <c r="I273" s="96">
        <f>IF(H273="ILF",IF($C$1="预估功能点",'模板使用说明&amp;基础参数'!$E$15,7),IF(H273="EIF",IF($C$1="预估功能点",'模板使用说明&amp;基础参数'!$E$16,5),IF(H273="EI",IF($C$1="预估功能点",'模板使用说明&amp;基础参数'!$E$17,'模板使用说明&amp;基础参数'!$E$24),IF(H273="EO",IF($C$1="预估功能点",'模板使用说明&amp;基础参数'!$E$18,'模板使用说明&amp;基础参数'!$E$25),IF(H273="EQ",IF($C$1="预估功能点",'模板使用说明&amp;基础参数'!$E$19,'模板使用说明&amp;基础参数'!$E$26),"")))))</f>
        <v>4</v>
      </c>
      <c r="J273" s="97" t="s">
        <v>38</v>
      </c>
      <c r="K273" s="97" t="s">
        <v>78</v>
      </c>
      <c r="L273" s="98">
        <f>IF(I273="","",IF(J273="高",IF(K273="删除",I273*'模板使用说明&amp;基础参数'!$E$5*'模板使用说明&amp;基础参数'!$E$12,IF(K273="修改",I273*'模板使用说明&amp;基础参数'!$E$5*'模板使用说明&amp;基础参数'!$E$11,I273*'模板使用说明&amp;基础参数'!$E$5*'模板使用说明&amp;基础参数'!$E$10)),IF(J273="中",IF(K273="删除",I273*'模板使用说明&amp;基础参数'!$E$6*'模板使用说明&amp;基础参数'!$E$12,IF(K273="修改",I273*'模板使用说明&amp;基础参数'!$E$6*'模板使用说明&amp;基础参数'!$E$11,I273*'模板使用说明&amp;基础参数'!$E$6*'模板使用说明&amp;基础参数'!$E$10)),IF(K273="删除",I273*'模板使用说明&amp;基础参数'!$E$7*'模板使用说明&amp;基础参数'!$E$12,IF(K273="修改",I273*'模板使用说明&amp;基础参数'!$E$7*'模板使用说明&amp;基础参数'!$E$11,I273*'模板使用说明&amp;基础参数'!$E$7*'模板使用说明&amp;基础参数'!$E$10)))))</f>
        <v>1.06666666666667</v>
      </c>
      <c r="M273" s="95"/>
      <c r="N273" s="99"/>
      <c r="O273" s="100"/>
    </row>
    <row r="274" s="70" customFormat="1" ht="25" customHeight="1" spans="1:15">
      <c r="A274" s="93">
        <v>269</v>
      </c>
      <c r="B274" s="94" t="s">
        <v>72</v>
      </c>
      <c r="C274" s="95" t="s">
        <v>144</v>
      </c>
      <c r="D274" s="95" t="s">
        <v>145</v>
      </c>
      <c r="E274" s="95" t="s">
        <v>145</v>
      </c>
      <c r="F274" s="95" t="s">
        <v>626</v>
      </c>
      <c r="G274" s="95" t="s">
        <v>627</v>
      </c>
      <c r="H274" s="93" t="s">
        <v>84</v>
      </c>
      <c r="I274" s="96">
        <f>IF(H274="ILF",IF($C$1="预估功能点",'模板使用说明&amp;基础参数'!$E$15,7),IF(H274="EIF",IF($C$1="预估功能点",'模板使用说明&amp;基础参数'!$E$16,5),IF(H274="EI",IF($C$1="预估功能点",'模板使用说明&amp;基础参数'!$E$17,'模板使用说明&amp;基础参数'!$E$24),IF(H274="EO",IF($C$1="预估功能点",'模板使用说明&amp;基础参数'!$E$18,'模板使用说明&amp;基础参数'!$E$25),IF(H274="EQ",IF($C$1="预估功能点",'模板使用说明&amp;基础参数'!$E$19,'模板使用说明&amp;基础参数'!$E$26),"")))))</f>
        <v>4</v>
      </c>
      <c r="J274" s="97" t="s">
        <v>38</v>
      </c>
      <c r="K274" s="97" t="s">
        <v>78</v>
      </c>
      <c r="L274" s="98">
        <f>IF(I274="","",IF(J274="高",IF(K274="删除",I274*'模板使用说明&amp;基础参数'!$E$5*'模板使用说明&amp;基础参数'!$E$12,IF(K274="修改",I274*'模板使用说明&amp;基础参数'!$E$5*'模板使用说明&amp;基础参数'!$E$11,I274*'模板使用说明&amp;基础参数'!$E$5*'模板使用说明&amp;基础参数'!$E$10)),IF(J274="中",IF(K274="删除",I274*'模板使用说明&amp;基础参数'!$E$6*'模板使用说明&amp;基础参数'!$E$12,IF(K274="修改",I274*'模板使用说明&amp;基础参数'!$E$6*'模板使用说明&amp;基础参数'!$E$11,I274*'模板使用说明&amp;基础参数'!$E$6*'模板使用说明&amp;基础参数'!$E$10)),IF(K274="删除",I274*'模板使用说明&amp;基础参数'!$E$7*'模板使用说明&amp;基础参数'!$E$12,IF(K274="修改",I274*'模板使用说明&amp;基础参数'!$E$7*'模板使用说明&amp;基础参数'!$E$11,I274*'模板使用说明&amp;基础参数'!$E$7*'模板使用说明&amp;基础参数'!$E$10)))))</f>
        <v>1.06666666666667</v>
      </c>
      <c r="M274" s="95"/>
      <c r="N274" s="99"/>
      <c r="O274" s="100"/>
    </row>
    <row r="275" s="70" customFormat="1" ht="25" customHeight="1" spans="1:15">
      <c r="A275" s="93">
        <v>270</v>
      </c>
      <c r="B275" s="94" t="s">
        <v>72</v>
      </c>
      <c r="C275" s="95" t="s">
        <v>144</v>
      </c>
      <c r="D275" s="95" t="s">
        <v>145</v>
      </c>
      <c r="E275" s="95" t="s">
        <v>145</v>
      </c>
      <c r="F275" s="95" t="s">
        <v>628</v>
      </c>
      <c r="G275" s="95" t="s">
        <v>629</v>
      </c>
      <c r="H275" s="93" t="s">
        <v>84</v>
      </c>
      <c r="I275" s="96">
        <f>IF(H275="ILF",IF($C$1="预估功能点",'模板使用说明&amp;基础参数'!$E$15,7),IF(H275="EIF",IF($C$1="预估功能点",'模板使用说明&amp;基础参数'!$E$16,5),IF(H275="EI",IF($C$1="预估功能点",'模板使用说明&amp;基础参数'!$E$17,'模板使用说明&amp;基础参数'!$E$24),IF(H275="EO",IF($C$1="预估功能点",'模板使用说明&amp;基础参数'!$E$18,'模板使用说明&amp;基础参数'!$E$25),IF(H275="EQ",IF($C$1="预估功能点",'模板使用说明&amp;基础参数'!$E$19,'模板使用说明&amp;基础参数'!$E$26),"")))))</f>
        <v>4</v>
      </c>
      <c r="J275" s="97" t="s">
        <v>38</v>
      </c>
      <c r="K275" s="97" t="s">
        <v>78</v>
      </c>
      <c r="L275" s="98">
        <f>IF(I275="","",IF(J275="高",IF(K275="删除",I275*'模板使用说明&amp;基础参数'!$E$5*'模板使用说明&amp;基础参数'!$E$12,IF(K275="修改",I275*'模板使用说明&amp;基础参数'!$E$5*'模板使用说明&amp;基础参数'!$E$11,I275*'模板使用说明&amp;基础参数'!$E$5*'模板使用说明&amp;基础参数'!$E$10)),IF(J275="中",IF(K275="删除",I275*'模板使用说明&amp;基础参数'!$E$6*'模板使用说明&amp;基础参数'!$E$12,IF(K275="修改",I275*'模板使用说明&amp;基础参数'!$E$6*'模板使用说明&amp;基础参数'!$E$11,I275*'模板使用说明&amp;基础参数'!$E$6*'模板使用说明&amp;基础参数'!$E$10)),IF(K275="删除",I275*'模板使用说明&amp;基础参数'!$E$7*'模板使用说明&amp;基础参数'!$E$12,IF(K275="修改",I275*'模板使用说明&amp;基础参数'!$E$7*'模板使用说明&amp;基础参数'!$E$11,I275*'模板使用说明&amp;基础参数'!$E$7*'模板使用说明&amp;基础参数'!$E$10)))))</f>
        <v>1.06666666666667</v>
      </c>
      <c r="M275" s="95"/>
      <c r="N275" s="99"/>
      <c r="O275" s="100"/>
    </row>
    <row r="276" s="70" customFormat="1" ht="25" customHeight="1" spans="1:15">
      <c r="A276" s="93">
        <v>271</v>
      </c>
      <c r="B276" s="94" t="s">
        <v>72</v>
      </c>
      <c r="C276" s="95" t="s">
        <v>154</v>
      </c>
      <c r="D276" s="95" t="s">
        <v>155</v>
      </c>
      <c r="E276" s="95" t="s">
        <v>155</v>
      </c>
      <c r="F276" s="95" t="s">
        <v>630</v>
      </c>
      <c r="G276" s="95" t="s">
        <v>631</v>
      </c>
      <c r="H276" s="93" t="s">
        <v>77</v>
      </c>
      <c r="I276" s="96">
        <f>IF(H276="ILF",IF($C$1="预估功能点",'模板使用说明&amp;基础参数'!$E$15,7),IF(H276="EIF",IF($C$1="预估功能点",'模板使用说明&amp;基础参数'!$E$16,5),IF(H276="EI",IF($C$1="预估功能点",'模板使用说明&amp;基础参数'!$E$17,'模板使用说明&amp;基础参数'!$E$24),IF(H276="EO",IF($C$1="预估功能点",'模板使用说明&amp;基础参数'!$E$18,'模板使用说明&amp;基础参数'!$E$25),IF(H276="EQ",IF($C$1="预估功能点",'模板使用说明&amp;基础参数'!$E$19,'模板使用说明&amp;基础参数'!$E$26),"")))))</f>
        <v>7</v>
      </c>
      <c r="J276" s="97" t="s">
        <v>38</v>
      </c>
      <c r="K276" s="97" t="s">
        <v>78</v>
      </c>
      <c r="L276" s="98">
        <f>IF(I276="","",IF(J276="高",IF(K276="删除",I276*'模板使用说明&amp;基础参数'!$E$5*'模板使用说明&amp;基础参数'!$E$12,IF(K276="修改",I276*'模板使用说明&amp;基础参数'!$E$5*'模板使用说明&amp;基础参数'!$E$11,I276*'模板使用说明&amp;基础参数'!$E$5*'模板使用说明&amp;基础参数'!$E$10)),IF(J276="中",IF(K276="删除",I276*'模板使用说明&amp;基础参数'!$E$6*'模板使用说明&amp;基础参数'!$E$12,IF(K276="修改",I276*'模板使用说明&amp;基础参数'!$E$6*'模板使用说明&amp;基础参数'!$E$11,I276*'模板使用说明&amp;基础参数'!$E$6*'模板使用说明&amp;基础参数'!$E$10)),IF(K276="删除",I276*'模板使用说明&amp;基础参数'!$E$7*'模板使用说明&amp;基础参数'!$E$12,IF(K276="修改",I276*'模板使用说明&amp;基础参数'!$E$7*'模板使用说明&amp;基础参数'!$E$11,I276*'模板使用说明&amp;基础参数'!$E$7*'模板使用说明&amp;基础参数'!$E$10)))))</f>
        <v>1.86666666666666</v>
      </c>
      <c r="M276" s="95"/>
      <c r="N276" s="99"/>
      <c r="O276" s="100"/>
    </row>
    <row r="277" s="70" customFormat="1" ht="25" customHeight="1" spans="1:15">
      <c r="A277" s="93">
        <v>272</v>
      </c>
      <c r="B277" s="94" t="s">
        <v>72</v>
      </c>
      <c r="C277" s="95" t="s">
        <v>154</v>
      </c>
      <c r="D277" s="95" t="s">
        <v>155</v>
      </c>
      <c r="E277" s="95" t="s">
        <v>155</v>
      </c>
      <c r="F277" s="95" t="s">
        <v>632</v>
      </c>
      <c r="G277" s="95" t="s">
        <v>633</v>
      </c>
      <c r="H277" s="93" t="s">
        <v>81</v>
      </c>
      <c r="I277" s="96">
        <f>IF(H277="ILF",IF($C$1="预估功能点",'模板使用说明&amp;基础参数'!$E$15,7),IF(H277="EIF",IF($C$1="预估功能点",'模板使用说明&amp;基础参数'!$E$16,5),IF(H277="EI",IF($C$1="预估功能点",'模板使用说明&amp;基础参数'!$E$17,'模板使用说明&amp;基础参数'!$E$24),IF(H277="EO",IF($C$1="预估功能点",'模板使用说明&amp;基础参数'!$E$18,'模板使用说明&amp;基础参数'!$E$25),IF(H277="EQ",IF($C$1="预估功能点",'模板使用说明&amp;基础参数'!$E$19,'模板使用说明&amp;基础参数'!$E$26),"")))))</f>
        <v>4</v>
      </c>
      <c r="J277" s="97" t="s">
        <v>38</v>
      </c>
      <c r="K277" s="97" t="s">
        <v>78</v>
      </c>
      <c r="L277" s="98">
        <f>IF(I277="","",IF(J277="高",IF(K277="删除",I277*'模板使用说明&amp;基础参数'!$E$5*'模板使用说明&amp;基础参数'!$E$12,IF(K277="修改",I277*'模板使用说明&amp;基础参数'!$E$5*'模板使用说明&amp;基础参数'!$E$11,I277*'模板使用说明&amp;基础参数'!$E$5*'模板使用说明&amp;基础参数'!$E$10)),IF(J277="中",IF(K277="删除",I277*'模板使用说明&amp;基础参数'!$E$6*'模板使用说明&amp;基础参数'!$E$12,IF(K277="修改",I277*'模板使用说明&amp;基础参数'!$E$6*'模板使用说明&amp;基础参数'!$E$11,I277*'模板使用说明&amp;基础参数'!$E$6*'模板使用说明&amp;基础参数'!$E$10)),IF(K277="删除",I277*'模板使用说明&amp;基础参数'!$E$7*'模板使用说明&amp;基础参数'!$E$12,IF(K277="修改",I277*'模板使用说明&amp;基础参数'!$E$7*'模板使用说明&amp;基础参数'!$E$11,I277*'模板使用说明&amp;基础参数'!$E$7*'模板使用说明&amp;基础参数'!$E$10)))))</f>
        <v>1.06666666666667</v>
      </c>
      <c r="M277" s="95"/>
      <c r="N277" s="99"/>
      <c r="O277" s="100"/>
    </row>
    <row r="278" s="70" customFormat="1" ht="25" customHeight="1" spans="1:15">
      <c r="A278" s="93">
        <v>273</v>
      </c>
      <c r="B278" s="94" t="s">
        <v>72</v>
      </c>
      <c r="C278" s="95" t="s">
        <v>154</v>
      </c>
      <c r="D278" s="95" t="s">
        <v>155</v>
      </c>
      <c r="E278" s="95" t="s">
        <v>155</v>
      </c>
      <c r="F278" s="95" t="s">
        <v>634</v>
      </c>
      <c r="G278" s="95" t="s">
        <v>635</v>
      </c>
      <c r="H278" s="93" t="s">
        <v>84</v>
      </c>
      <c r="I278" s="96">
        <f>IF(H278="ILF",IF($C$1="预估功能点",'模板使用说明&amp;基础参数'!$E$15,7),IF(H278="EIF",IF($C$1="预估功能点",'模板使用说明&amp;基础参数'!$E$16,5),IF(H278="EI",IF($C$1="预估功能点",'模板使用说明&amp;基础参数'!$E$17,'模板使用说明&amp;基础参数'!$E$24),IF(H278="EO",IF($C$1="预估功能点",'模板使用说明&amp;基础参数'!$E$18,'模板使用说明&amp;基础参数'!$E$25),IF(H278="EQ",IF($C$1="预估功能点",'模板使用说明&amp;基础参数'!$E$19,'模板使用说明&amp;基础参数'!$E$26),"")))))</f>
        <v>4</v>
      </c>
      <c r="J278" s="97" t="s">
        <v>38</v>
      </c>
      <c r="K278" s="97" t="s">
        <v>78</v>
      </c>
      <c r="L278" s="98">
        <f>IF(I278="","",IF(J278="高",IF(K278="删除",I278*'模板使用说明&amp;基础参数'!$E$5*'模板使用说明&amp;基础参数'!$E$12,IF(K278="修改",I278*'模板使用说明&amp;基础参数'!$E$5*'模板使用说明&amp;基础参数'!$E$11,I278*'模板使用说明&amp;基础参数'!$E$5*'模板使用说明&amp;基础参数'!$E$10)),IF(J278="中",IF(K278="删除",I278*'模板使用说明&amp;基础参数'!$E$6*'模板使用说明&amp;基础参数'!$E$12,IF(K278="修改",I278*'模板使用说明&amp;基础参数'!$E$6*'模板使用说明&amp;基础参数'!$E$11,I278*'模板使用说明&amp;基础参数'!$E$6*'模板使用说明&amp;基础参数'!$E$10)),IF(K278="删除",I278*'模板使用说明&amp;基础参数'!$E$7*'模板使用说明&amp;基础参数'!$E$12,IF(K278="修改",I278*'模板使用说明&amp;基础参数'!$E$7*'模板使用说明&amp;基础参数'!$E$11,I278*'模板使用说明&amp;基础参数'!$E$7*'模板使用说明&amp;基础参数'!$E$10)))))</f>
        <v>1.06666666666667</v>
      </c>
      <c r="M278" s="95"/>
      <c r="N278" s="99"/>
      <c r="O278" s="100"/>
    </row>
    <row r="279" s="70" customFormat="1" ht="25" customHeight="1" spans="1:15">
      <c r="A279" s="93">
        <v>274</v>
      </c>
      <c r="B279" s="94" t="s">
        <v>72</v>
      </c>
      <c r="C279" s="95" t="s">
        <v>154</v>
      </c>
      <c r="D279" s="95" t="s">
        <v>155</v>
      </c>
      <c r="E279" s="95" t="s">
        <v>155</v>
      </c>
      <c r="F279" s="95" t="s">
        <v>636</v>
      </c>
      <c r="G279" s="95" t="s">
        <v>637</v>
      </c>
      <c r="H279" s="93" t="s">
        <v>84</v>
      </c>
      <c r="I279" s="96">
        <f>IF(H279="ILF",IF($C$1="预估功能点",'模板使用说明&amp;基础参数'!$E$15,7),IF(H279="EIF",IF($C$1="预估功能点",'模板使用说明&amp;基础参数'!$E$16,5),IF(H279="EI",IF($C$1="预估功能点",'模板使用说明&amp;基础参数'!$E$17,'模板使用说明&amp;基础参数'!$E$24),IF(H279="EO",IF($C$1="预估功能点",'模板使用说明&amp;基础参数'!$E$18,'模板使用说明&amp;基础参数'!$E$25),IF(H279="EQ",IF($C$1="预估功能点",'模板使用说明&amp;基础参数'!$E$19,'模板使用说明&amp;基础参数'!$E$26),"")))))</f>
        <v>4</v>
      </c>
      <c r="J279" s="97" t="s">
        <v>38</v>
      </c>
      <c r="K279" s="97" t="s">
        <v>78</v>
      </c>
      <c r="L279" s="98">
        <f>IF(I279="","",IF(J279="高",IF(K279="删除",I279*'模板使用说明&amp;基础参数'!$E$5*'模板使用说明&amp;基础参数'!$E$12,IF(K279="修改",I279*'模板使用说明&amp;基础参数'!$E$5*'模板使用说明&amp;基础参数'!$E$11,I279*'模板使用说明&amp;基础参数'!$E$5*'模板使用说明&amp;基础参数'!$E$10)),IF(J279="中",IF(K279="删除",I279*'模板使用说明&amp;基础参数'!$E$6*'模板使用说明&amp;基础参数'!$E$12,IF(K279="修改",I279*'模板使用说明&amp;基础参数'!$E$6*'模板使用说明&amp;基础参数'!$E$11,I279*'模板使用说明&amp;基础参数'!$E$6*'模板使用说明&amp;基础参数'!$E$10)),IF(K279="删除",I279*'模板使用说明&amp;基础参数'!$E$7*'模板使用说明&amp;基础参数'!$E$12,IF(K279="修改",I279*'模板使用说明&amp;基础参数'!$E$7*'模板使用说明&amp;基础参数'!$E$11,I279*'模板使用说明&amp;基础参数'!$E$7*'模板使用说明&amp;基础参数'!$E$10)))))</f>
        <v>1.06666666666667</v>
      </c>
      <c r="M279" s="95"/>
      <c r="N279" s="99"/>
      <c r="O279" s="100"/>
    </row>
    <row r="280" s="70" customFormat="1" ht="25" customHeight="1" spans="1:15">
      <c r="A280" s="93">
        <v>275</v>
      </c>
      <c r="B280" s="94" t="s">
        <v>72</v>
      </c>
      <c r="C280" s="95" t="s">
        <v>154</v>
      </c>
      <c r="D280" s="95" t="s">
        <v>155</v>
      </c>
      <c r="E280" s="95" t="s">
        <v>155</v>
      </c>
      <c r="F280" s="95" t="s">
        <v>638</v>
      </c>
      <c r="G280" s="95" t="s">
        <v>639</v>
      </c>
      <c r="H280" s="93" t="s">
        <v>84</v>
      </c>
      <c r="I280" s="96">
        <f>IF(H280="ILF",IF($C$1="预估功能点",'模板使用说明&amp;基础参数'!$E$15,7),IF(H280="EIF",IF($C$1="预估功能点",'模板使用说明&amp;基础参数'!$E$16,5),IF(H280="EI",IF($C$1="预估功能点",'模板使用说明&amp;基础参数'!$E$17,'模板使用说明&amp;基础参数'!$E$24),IF(H280="EO",IF($C$1="预估功能点",'模板使用说明&amp;基础参数'!$E$18,'模板使用说明&amp;基础参数'!$E$25),IF(H280="EQ",IF($C$1="预估功能点",'模板使用说明&amp;基础参数'!$E$19,'模板使用说明&amp;基础参数'!$E$26),"")))))</f>
        <v>4</v>
      </c>
      <c r="J280" s="97" t="s">
        <v>38</v>
      </c>
      <c r="K280" s="97" t="s">
        <v>78</v>
      </c>
      <c r="L280" s="98">
        <f>IF(I280="","",IF(J280="高",IF(K280="删除",I280*'模板使用说明&amp;基础参数'!$E$5*'模板使用说明&amp;基础参数'!$E$12,IF(K280="修改",I280*'模板使用说明&amp;基础参数'!$E$5*'模板使用说明&amp;基础参数'!$E$11,I280*'模板使用说明&amp;基础参数'!$E$5*'模板使用说明&amp;基础参数'!$E$10)),IF(J280="中",IF(K280="删除",I280*'模板使用说明&amp;基础参数'!$E$6*'模板使用说明&amp;基础参数'!$E$12,IF(K280="修改",I280*'模板使用说明&amp;基础参数'!$E$6*'模板使用说明&amp;基础参数'!$E$11,I280*'模板使用说明&amp;基础参数'!$E$6*'模板使用说明&amp;基础参数'!$E$10)),IF(K280="删除",I280*'模板使用说明&amp;基础参数'!$E$7*'模板使用说明&amp;基础参数'!$E$12,IF(K280="修改",I280*'模板使用说明&amp;基础参数'!$E$7*'模板使用说明&amp;基础参数'!$E$11,I280*'模板使用说明&amp;基础参数'!$E$7*'模板使用说明&amp;基础参数'!$E$10)))))</f>
        <v>1.06666666666667</v>
      </c>
      <c r="M280" s="95"/>
      <c r="N280" s="99"/>
      <c r="O280" s="100"/>
    </row>
    <row r="281" s="70" customFormat="1" ht="25" customHeight="1" spans="1:15">
      <c r="A281" s="93">
        <v>276</v>
      </c>
      <c r="B281" s="94" t="s">
        <v>72</v>
      </c>
      <c r="C281" s="95" t="s">
        <v>73</v>
      </c>
      <c r="D281" s="95" t="s">
        <v>74</v>
      </c>
      <c r="E281" s="95" t="s">
        <v>74</v>
      </c>
      <c r="F281" s="95" t="s">
        <v>640</v>
      </c>
      <c r="G281" s="95" t="s">
        <v>641</v>
      </c>
      <c r="H281" s="93" t="s">
        <v>77</v>
      </c>
      <c r="I281" s="96">
        <f>IF(H281="ILF",IF($C$1="预估功能点",'模板使用说明&amp;基础参数'!$E$15,7),IF(H281="EIF",IF($C$1="预估功能点",'模板使用说明&amp;基础参数'!$E$16,5),IF(H281="EI",IF($C$1="预估功能点",'模板使用说明&amp;基础参数'!$E$17,'模板使用说明&amp;基础参数'!$E$24),IF(H281="EO",IF($C$1="预估功能点",'模板使用说明&amp;基础参数'!$E$18,'模板使用说明&amp;基础参数'!$E$25),IF(H281="EQ",IF($C$1="预估功能点",'模板使用说明&amp;基础参数'!$E$19,'模板使用说明&amp;基础参数'!$E$26),"")))))</f>
        <v>7</v>
      </c>
      <c r="J281" s="97" t="s">
        <v>38</v>
      </c>
      <c r="K281" s="97" t="s">
        <v>78</v>
      </c>
      <c r="L281" s="98">
        <f>IF(I281="","",IF(J281="高",IF(K281="删除",I281*'模板使用说明&amp;基础参数'!$E$5*'模板使用说明&amp;基础参数'!$E$12,IF(K281="修改",I281*'模板使用说明&amp;基础参数'!$E$5*'模板使用说明&amp;基础参数'!$E$11,I281*'模板使用说明&amp;基础参数'!$E$5*'模板使用说明&amp;基础参数'!$E$10)),IF(J281="中",IF(K281="删除",I281*'模板使用说明&amp;基础参数'!$E$6*'模板使用说明&amp;基础参数'!$E$12,IF(K281="修改",I281*'模板使用说明&amp;基础参数'!$E$6*'模板使用说明&amp;基础参数'!$E$11,I281*'模板使用说明&amp;基础参数'!$E$6*'模板使用说明&amp;基础参数'!$E$10)),IF(K281="删除",I281*'模板使用说明&amp;基础参数'!$E$7*'模板使用说明&amp;基础参数'!$E$12,IF(K281="修改",I281*'模板使用说明&amp;基础参数'!$E$7*'模板使用说明&amp;基础参数'!$E$11,I281*'模板使用说明&amp;基础参数'!$E$7*'模板使用说明&amp;基础参数'!$E$10)))))</f>
        <v>1.86666666666666</v>
      </c>
      <c r="M281" s="95"/>
      <c r="N281" s="99"/>
      <c r="O281" s="100"/>
    </row>
    <row r="282" s="70" customFormat="1" ht="25" customHeight="1" spans="1:15">
      <c r="A282" s="93">
        <v>277</v>
      </c>
      <c r="B282" s="94" t="s">
        <v>72</v>
      </c>
      <c r="C282" s="95" t="s">
        <v>73</v>
      </c>
      <c r="D282" s="95" t="s">
        <v>74</v>
      </c>
      <c r="E282" s="95" t="s">
        <v>74</v>
      </c>
      <c r="F282" s="95" t="s">
        <v>642</v>
      </c>
      <c r="G282" s="95" t="s">
        <v>643</v>
      </c>
      <c r="H282" s="93" t="s">
        <v>81</v>
      </c>
      <c r="I282" s="96">
        <f>IF(H282="ILF",IF($C$1="预估功能点",'模板使用说明&amp;基础参数'!$E$15,7),IF(H282="EIF",IF($C$1="预估功能点",'模板使用说明&amp;基础参数'!$E$16,5),IF(H282="EI",IF($C$1="预估功能点",'模板使用说明&amp;基础参数'!$E$17,'模板使用说明&amp;基础参数'!$E$24),IF(H282="EO",IF($C$1="预估功能点",'模板使用说明&amp;基础参数'!$E$18,'模板使用说明&amp;基础参数'!$E$25),IF(H282="EQ",IF($C$1="预估功能点",'模板使用说明&amp;基础参数'!$E$19,'模板使用说明&amp;基础参数'!$E$26),"")))))</f>
        <v>4</v>
      </c>
      <c r="J282" s="97" t="s">
        <v>38</v>
      </c>
      <c r="K282" s="97" t="s">
        <v>78</v>
      </c>
      <c r="L282" s="98">
        <f>IF(I282="","",IF(J282="高",IF(K282="删除",I282*'模板使用说明&amp;基础参数'!$E$5*'模板使用说明&amp;基础参数'!$E$12,IF(K282="修改",I282*'模板使用说明&amp;基础参数'!$E$5*'模板使用说明&amp;基础参数'!$E$11,I282*'模板使用说明&amp;基础参数'!$E$5*'模板使用说明&amp;基础参数'!$E$10)),IF(J282="中",IF(K282="删除",I282*'模板使用说明&amp;基础参数'!$E$6*'模板使用说明&amp;基础参数'!$E$12,IF(K282="修改",I282*'模板使用说明&amp;基础参数'!$E$6*'模板使用说明&amp;基础参数'!$E$11,I282*'模板使用说明&amp;基础参数'!$E$6*'模板使用说明&amp;基础参数'!$E$10)),IF(K282="删除",I282*'模板使用说明&amp;基础参数'!$E$7*'模板使用说明&amp;基础参数'!$E$12,IF(K282="修改",I282*'模板使用说明&amp;基础参数'!$E$7*'模板使用说明&amp;基础参数'!$E$11,I282*'模板使用说明&amp;基础参数'!$E$7*'模板使用说明&amp;基础参数'!$E$10)))))</f>
        <v>1.06666666666667</v>
      </c>
      <c r="M282" s="95"/>
      <c r="N282" s="99"/>
      <c r="O282" s="100"/>
    </row>
    <row r="283" s="70" customFormat="1" ht="25" customHeight="1" spans="1:15">
      <c r="A283" s="93">
        <v>278</v>
      </c>
      <c r="B283" s="94" t="s">
        <v>72</v>
      </c>
      <c r="C283" s="95" t="s">
        <v>73</v>
      </c>
      <c r="D283" s="95" t="s">
        <v>74</v>
      </c>
      <c r="E283" s="95" t="s">
        <v>74</v>
      </c>
      <c r="F283" s="95" t="s">
        <v>644</v>
      </c>
      <c r="G283" s="95" t="s">
        <v>645</v>
      </c>
      <c r="H283" s="93" t="s">
        <v>84</v>
      </c>
      <c r="I283" s="96">
        <f>IF(H283="ILF",IF($C$1="预估功能点",'模板使用说明&amp;基础参数'!$E$15,7),IF(H283="EIF",IF($C$1="预估功能点",'模板使用说明&amp;基础参数'!$E$16,5),IF(H283="EI",IF($C$1="预估功能点",'模板使用说明&amp;基础参数'!$E$17,'模板使用说明&amp;基础参数'!$E$24),IF(H283="EO",IF($C$1="预估功能点",'模板使用说明&amp;基础参数'!$E$18,'模板使用说明&amp;基础参数'!$E$25),IF(H283="EQ",IF($C$1="预估功能点",'模板使用说明&amp;基础参数'!$E$19,'模板使用说明&amp;基础参数'!$E$26),"")))))</f>
        <v>4</v>
      </c>
      <c r="J283" s="97" t="s">
        <v>38</v>
      </c>
      <c r="K283" s="97" t="s">
        <v>78</v>
      </c>
      <c r="L283" s="98">
        <f>IF(I283="","",IF(J283="高",IF(K283="删除",I283*'模板使用说明&amp;基础参数'!$E$5*'模板使用说明&amp;基础参数'!$E$12,IF(K283="修改",I283*'模板使用说明&amp;基础参数'!$E$5*'模板使用说明&amp;基础参数'!$E$11,I283*'模板使用说明&amp;基础参数'!$E$5*'模板使用说明&amp;基础参数'!$E$10)),IF(J283="中",IF(K283="删除",I283*'模板使用说明&amp;基础参数'!$E$6*'模板使用说明&amp;基础参数'!$E$12,IF(K283="修改",I283*'模板使用说明&amp;基础参数'!$E$6*'模板使用说明&amp;基础参数'!$E$11,I283*'模板使用说明&amp;基础参数'!$E$6*'模板使用说明&amp;基础参数'!$E$10)),IF(K283="删除",I283*'模板使用说明&amp;基础参数'!$E$7*'模板使用说明&amp;基础参数'!$E$12,IF(K283="修改",I283*'模板使用说明&amp;基础参数'!$E$7*'模板使用说明&amp;基础参数'!$E$11,I283*'模板使用说明&amp;基础参数'!$E$7*'模板使用说明&amp;基础参数'!$E$10)))))</f>
        <v>1.06666666666667</v>
      </c>
      <c r="M283" s="95"/>
      <c r="N283" s="99"/>
      <c r="O283" s="100"/>
    </row>
    <row r="284" s="70" customFormat="1" ht="25" customHeight="1" spans="1:15">
      <c r="A284" s="93">
        <v>279</v>
      </c>
      <c r="B284" s="94" t="s">
        <v>72</v>
      </c>
      <c r="C284" s="95" t="s">
        <v>73</v>
      </c>
      <c r="D284" s="95" t="s">
        <v>74</v>
      </c>
      <c r="E284" s="95" t="s">
        <v>74</v>
      </c>
      <c r="F284" s="95" t="s">
        <v>646</v>
      </c>
      <c r="G284" s="95" t="s">
        <v>647</v>
      </c>
      <c r="H284" s="93" t="s">
        <v>84</v>
      </c>
      <c r="I284" s="96">
        <f>IF(H284="ILF",IF($C$1="预估功能点",'模板使用说明&amp;基础参数'!$E$15,7),IF(H284="EIF",IF($C$1="预估功能点",'模板使用说明&amp;基础参数'!$E$16,5),IF(H284="EI",IF($C$1="预估功能点",'模板使用说明&amp;基础参数'!$E$17,'模板使用说明&amp;基础参数'!$E$24),IF(H284="EO",IF($C$1="预估功能点",'模板使用说明&amp;基础参数'!$E$18,'模板使用说明&amp;基础参数'!$E$25),IF(H284="EQ",IF($C$1="预估功能点",'模板使用说明&amp;基础参数'!$E$19,'模板使用说明&amp;基础参数'!$E$26),"")))))</f>
        <v>4</v>
      </c>
      <c r="J284" s="97" t="s">
        <v>38</v>
      </c>
      <c r="K284" s="97" t="s">
        <v>78</v>
      </c>
      <c r="L284" s="98">
        <f>IF(I284="","",IF(J284="高",IF(K284="删除",I284*'模板使用说明&amp;基础参数'!$E$5*'模板使用说明&amp;基础参数'!$E$12,IF(K284="修改",I284*'模板使用说明&amp;基础参数'!$E$5*'模板使用说明&amp;基础参数'!$E$11,I284*'模板使用说明&amp;基础参数'!$E$5*'模板使用说明&amp;基础参数'!$E$10)),IF(J284="中",IF(K284="删除",I284*'模板使用说明&amp;基础参数'!$E$6*'模板使用说明&amp;基础参数'!$E$12,IF(K284="修改",I284*'模板使用说明&amp;基础参数'!$E$6*'模板使用说明&amp;基础参数'!$E$11,I284*'模板使用说明&amp;基础参数'!$E$6*'模板使用说明&amp;基础参数'!$E$10)),IF(K284="删除",I284*'模板使用说明&amp;基础参数'!$E$7*'模板使用说明&amp;基础参数'!$E$12,IF(K284="修改",I284*'模板使用说明&amp;基础参数'!$E$7*'模板使用说明&amp;基础参数'!$E$11,I284*'模板使用说明&amp;基础参数'!$E$7*'模板使用说明&amp;基础参数'!$E$10)))))</f>
        <v>1.06666666666667</v>
      </c>
      <c r="M284" s="95"/>
      <c r="N284" s="99"/>
      <c r="O284" s="100"/>
    </row>
    <row r="285" s="70" customFormat="1" ht="25" customHeight="1" spans="1:15">
      <c r="A285" s="93">
        <v>280</v>
      </c>
      <c r="B285" s="94" t="s">
        <v>72</v>
      </c>
      <c r="C285" s="95" t="s">
        <v>73</v>
      </c>
      <c r="D285" s="95" t="s">
        <v>74</v>
      </c>
      <c r="E285" s="95" t="s">
        <v>74</v>
      </c>
      <c r="F285" s="95" t="s">
        <v>648</v>
      </c>
      <c r="G285" s="95" t="s">
        <v>649</v>
      </c>
      <c r="H285" s="93" t="s">
        <v>84</v>
      </c>
      <c r="I285" s="96">
        <f>IF(H285="ILF",IF($C$1="预估功能点",'模板使用说明&amp;基础参数'!$E$15,7),IF(H285="EIF",IF($C$1="预估功能点",'模板使用说明&amp;基础参数'!$E$16,5),IF(H285="EI",IF($C$1="预估功能点",'模板使用说明&amp;基础参数'!$E$17,'模板使用说明&amp;基础参数'!$E$24),IF(H285="EO",IF($C$1="预估功能点",'模板使用说明&amp;基础参数'!$E$18,'模板使用说明&amp;基础参数'!$E$25),IF(H285="EQ",IF($C$1="预估功能点",'模板使用说明&amp;基础参数'!$E$19,'模板使用说明&amp;基础参数'!$E$26),"")))))</f>
        <v>4</v>
      </c>
      <c r="J285" s="97" t="s">
        <v>38</v>
      </c>
      <c r="K285" s="97" t="s">
        <v>78</v>
      </c>
      <c r="L285" s="98">
        <f>IF(I285="","",IF(J285="高",IF(K285="删除",I285*'模板使用说明&amp;基础参数'!$E$5*'模板使用说明&amp;基础参数'!$E$12,IF(K285="修改",I285*'模板使用说明&amp;基础参数'!$E$5*'模板使用说明&amp;基础参数'!$E$11,I285*'模板使用说明&amp;基础参数'!$E$5*'模板使用说明&amp;基础参数'!$E$10)),IF(J285="中",IF(K285="删除",I285*'模板使用说明&amp;基础参数'!$E$6*'模板使用说明&amp;基础参数'!$E$12,IF(K285="修改",I285*'模板使用说明&amp;基础参数'!$E$6*'模板使用说明&amp;基础参数'!$E$11,I285*'模板使用说明&amp;基础参数'!$E$6*'模板使用说明&amp;基础参数'!$E$10)),IF(K285="删除",I285*'模板使用说明&amp;基础参数'!$E$7*'模板使用说明&amp;基础参数'!$E$12,IF(K285="修改",I285*'模板使用说明&amp;基础参数'!$E$7*'模板使用说明&amp;基础参数'!$E$11,I285*'模板使用说明&amp;基础参数'!$E$7*'模板使用说明&amp;基础参数'!$E$10)))))</f>
        <v>1.06666666666667</v>
      </c>
      <c r="M285" s="95"/>
      <c r="N285" s="99"/>
      <c r="O285" s="100"/>
    </row>
    <row r="286" s="70" customFormat="1" ht="25" customHeight="1" spans="1:15">
      <c r="A286" s="93">
        <v>281</v>
      </c>
      <c r="B286" s="94" t="s">
        <v>72</v>
      </c>
      <c r="C286" s="95" t="s">
        <v>73</v>
      </c>
      <c r="D286" s="95" t="s">
        <v>74</v>
      </c>
      <c r="E286" s="95" t="s">
        <v>74</v>
      </c>
      <c r="F286" s="95" t="s">
        <v>650</v>
      </c>
      <c r="G286" s="95" t="s">
        <v>651</v>
      </c>
      <c r="H286" s="93" t="s">
        <v>77</v>
      </c>
      <c r="I286" s="96">
        <f>IF(H286="ILF",IF($C$1="预估功能点",'模板使用说明&amp;基础参数'!$E$15,7),IF(H286="EIF",IF($C$1="预估功能点",'模板使用说明&amp;基础参数'!$E$16,5),IF(H286="EI",IF($C$1="预估功能点",'模板使用说明&amp;基础参数'!$E$17,'模板使用说明&amp;基础参数'!$E$24),IF(H286="EO",IF($C$1="预估功能点",'模板使用说明&amp;基础参数'!$E$18,'模板使用说明&amp;基础参数'!$E$25),IF(H286="EQ",IF($C$1="预估功能点",'模板使用说明&amp;基础参数'!$E$19,'模板使用说明&amp;基础参数'!$E$26),"")))))</f>
        <v>7</v>
      </c>
      <c r="J286" s="97" t="s">
        <v>38</v>
      </c>
      <c r="K286" s="97" t="s">
        <v>78</v>
      </c>
      <c r="L286" s="98">
        <f>IF(I286="","",IF(J286="高",IF(K286="删除",I286*'模板使用说明&amp;基础参数'!$E$5*'模板使用说明&amp;基础参数'!$E$12,IF(K286="修改",I286*'模板使用说明&amp;基础参数'!$E$5*'模板使用说明&amp;基础参数'!$E$11,I286*'模板使用说明&amp;基础参数'!$E$5*'模板使用说明&amp;基础参数'!$E$10)),IF(J286="中",IF(K286="删除",I286*'模板使用说明&amp;基础参数'!$E$6*'模板使用说明&amp;基础参数'!$E$12,IF(K286="修改",I286*'模板使用说明&amp;基础参数'!$E$6*'模板使用说明&amp;基础参数'!$E$11,I286*'模板使用说明&amp;基础参数'!$E$6*'模板使用说明&amp;基础参数'!$E$10)),IF(K286="删除",I286*'模板使用说明&amp;基础参数'!$E$7*'模板使用说明&amp;基础参数'!$E$12,IF(K286="修改",I286*'模板使用说明&amp;基础参数'!$E$7*'模板使用说明&amp;基础参数'!$E$11,I286*'模板使用说明&amp;基础参数'!$E$7*'模板使用说明&amp;基础参数'!$E$10)))))</f>
        <v>1.86666666666666</v>
      </c>
      <c r="M286" s="95"/>
      <c r="N286" s="99"/>
      <c r="O286" s="100"/>
    </row>
    <row r="287" s="70" customFormat="1" ht="25" customHeight="1" spans="1:15">
      <c r="A287" s="93">
        <v>282</v>
      </c>
      <c r="B287" s="94" t="s">
        <v>72</v>
      </c>
      <c r="C287" s="95" t="s">
        <v>73</v>
      </c>
      <c r="D287" s="95" t="s">
        <v>74</v>
      </c>
      <c r="E287" s="95" t="s">
        <v>74</v>
      </c>
      <c r="F287" s="95" t="s">
        <v>652</v>
      </c>
      <c r="G287" s="95" t="s">
        <v>653</v>
      </c>
      <c r="H287" s="93" t="s">
        <v>81</v>
      </c>
      <c r="I287" s="96">
        <f>IF(H287="ILF",IF($C$1="预估功能点",'模板使用说明&amp;基础参数'!$E$15,7),IF(H287="EIF",IF($C$1="预估功能点",'模板使用说明&amp;基础参数'!$E$16,5),IF(H287="EI",IF($C$1="预估功能点",'模板使用说明&amp;基础参数'!$E$17,'模板使用说明&amp;基础参数'!$E$24),IF(H287="EO",IF($C$1="预估功能点",'模板使用说明&amp;基础参数'!$E$18,'模板使用说明&amp;基础参数'!$E$25),IF(H287="EQ",IF($C$1="预估功能点",'模板使用说明&amp;基础参数'!$E$19,'模板使用说明&amp;基础参数'!$E$26),"")))))</f>
        <v>4</v>
      </c>
      <c r="J287" s="97" t="s">
        <v>38</v>
      </c>
      <c r="K287" s="97" t="s">
        <v>78</v>
      </c>
      <c r="L287" s="98">
        <f>IF(I287="","",IF(J287="高",IF(K287="删除",I287*'模板使用说明&amp;基础参数'!$E$5*'模板使用说明&amp;基础参数'!$E$12,IF(K287="修改",I287*'模板使用说明&amp;基础参数'!$E$5*'模板使用说明&amp;基础参数'!$E$11,I287*'模板使用说明&amp;基础参数'!$E$5*'模板使用说明&amp;基础参数'!$E$10)),IF(J287="中",IF(K287="删除",I287*'模板使用说明&amp;基础参数'!$E$6*'模板使用说明&amp;基础参数'!$E$12,IF(K287="修改",I287*'模板使用说明&amp;基础参数'!$E$6*'模板使用说明&amp;基础参数'!$E$11,I287*'模板使用说明&amp;基础参数'!$E$6*'模板使用说明&amp;基础参数'!$E$10)),IF(K287="删除",I287*'模板使用说明&amp;基础参数'!$E$7*'模板使用说明&amp;基础参数'!$E$12,IF(K287="修改",I287*'模板使用说明&amp;基础参数'!$E$7*'模板使用说明&amp;基础参数'!$E$11,I287*'模板使用说明&amp;基础参数'!$E$7*'模板使用说明&amp;基础参数'!$E$10)))))</f>
        <v>1.06666666666667</v>
      </c>
      <c r="M287" s="95"/>
      <c r="N287" s="99"/>
      <c r="O287" s="100"/>
    </row>
    <row r="288" s="70" customFormat="1" ht="25" customHeight="1" spans="1:15">
      <c r="A288" s="93">
        <v>283</v>
      </c>
      <c r="B288" s="94" t="s">
        <v>72</v>
      </c>
      <c r="C288" s="95" t="s">
        <v>73</v>
      </c>
      <c r="D288" s="95" t="s">
        <v>74</v>
      </c>
      <c r="E288" s="95" t="s">
        <v>74</v>
      </c>
      <c r="F288" s="95" t="s">
        <v>654</v>
      </c>
      <c r="G288" s="95" t="s">
        <v>655</v>
      </c>
      <c r="H288" s="93" t="s">
        <v>84</v>
      </c>
      <c r="I288" s="96">
        <f>IF(H288="ILF",IF($C$1="预估功能点",'模板使用说明&amp;基础参数'!$E$15,7),IF(H288="EIF",IF($C$1="预估功能点",'模板使用说明&amp;基础参数'!$E$16,5),IF(H288="EI",IF($C$1="预估功能点",'模板使用说明&amp;基础参数'!$E$17,'模板使用说明&amp;基础参数'!$E$24),IF(H288="EO",IF($C$1="预估功能点",'模板使用说明&amp;基础参数'!$E$18,'模板使用说明&amp;基础参数'!$E$25),IF(H288="EQ",IF($C$1="预估功能点",'模板使用说明&amp;基础参数'!$E$19,'模板使用说明&amp;基础参数'!$E$26),"")))))</f>
        <v>4</v>
      </c>
      <c r="J288" s="97" t="s">
        <v>38</v>
      </c>
      <c r="K288" s="97" t="s">
        <v>78</v>
      </c>
      <c r="L288" s="98">
        <f>IF(I288="","",IF(J288="高",IF(K288="删除",I288*'模板使用说明&amp;基础参数'!$E$5*'模板使用说明&amp;基础参数'!$E$12,IF(K288="修改",I288*'模板使用说明&amp;基础参数'!$E$5*'模板使用说明&amp;基础参数'!$E$11,I288*'模板使用说明&amp;基础参数'!$E$5*'模板使用说明&amp;基础参数'!$E$10)),IF(J288="中",IF(K288="删除",I288*'模板使用说明&amp;基础参数'!$E$6*'模板使用说明&amp;基础参数'!$E$12,IF(K288="修改",I288*'模板使用说明&amp;基础参数'!$E$6*'模板使用说明&amp;基础参数'!$E$11,I288*'模板使用说明&amp;基础参数'!$E$6*'模板使用说明&amp;基础参数'!$E$10)),IF(K288="删除",I288*'模板使用说明&amp;基础参数'!$E$7*'模板使用说明&amp;基础参数'!$E$12,IF(K288="修改",I288*'模板使用说明&amp;基础参数'!$E$7*'模板使用说明&amp;基础参数'!$E$11,I288*'模板使用说明&amp;基础参数'!$E$7*'模板使用说明&amp;基础参数'!$E$10)))))</f>
        <v>1.06666666666667</v>
      </c>
      <c r="M288" s="95"/>
      <c r="N288" s="99"/>
      <c r="O288" s="100"/>
    </row>
    <row r="289" s="70" customFormat="1" ht="25" customHeight="1" spans="1:15">
      <c r="A289" s="93">
        <v>284</v>
      </c>
      <c r="B289" s="94" t="s">
        <v>72</v>
      </c>
      <c r="C289" s="95" t="s">
        <v>73</v>
      </c>
      <c r="D289" s="95" t="s">
        <v>74</v>
      </c>
      <c r="E289" s="95" t="s">
        <v>74</v>
      </c>
      <c r="F289" s="95" t="s">
        <v>656</v>
      </c>
      <c r="G289" s="95" t="s">
        <v>657</v>
      </c>
      <c r="H289" s="93" t="s">
        <v>84</v>
      </c>
      <c r="I289" s="96">
        <f>IF(H289="ILF",IF($C$1="预估功能点",'模板使用说明&amp;基础参数'!$E$15,7),IF(H289="EIF",IF($C$1="预估功能点",'模板使用说明&amp;基础参数'!$E$16,5),IF(H289="EI",IF($C$1="预估功能点",'模板使用说明&amp;基础参数'!$E$17,'模板使用说明&amp;基础参数'!$E$24),IF(H289="EO",IF($C$1="预估功能点",'模板使用说明&amp;基础参数'!$E$18,'模板使用说明&amp;基础参数'!$E$25),IF(H289="EQ",IF($C$1="预估功能点",'模板使用说明&amp;基础参数'!$E$19,'模板使用说明&amp;基础参数'!$E$26),"")))))</f>
        <v>4</v>
      </c>
      <c r="J289" s="97" t="s">
        <v>38</v>
      </c>
      <c r="K289" s="97" t="s">
        <v>78</v>
      </c>
      <c r="L289" s="98">
        <f>IF(I289="","",IF(J289="高",IF(K289="删除",I289*'模板使用说明&amp;基础参数'!$E$5*'模板使用说明&amp;基础参数'!$E$12,IF(K289="修改",I289*'模板使用说明&amp;基础参数'!$E$5*'模板使用说明&amp;基础参数'!$E$11,I289*'模板使用说明&amp;基础参数'!$E$5*'模板使用说明&amp;基础参数'!$E$10)),IF(J289="中",IF(K289="删除",I289*'模板使用说明&amp;基础参数'!$E$6*'模板使用说明&amp;基础参数'!$E$12,IF(K289="修改",I289*'模板使用说明&amp;基础参数'!$E$6*'模板使用说明&amp;基础参数'!$E$11,I289*'模板使用说明&amp;基础参数'!$E$6*'模板使用说明&amp;基础参数'!$E$10)),IF(K289="删除",I289*'模板使用说明&amp;基础参数'!$E$7*'模板使用说明&amp;基础参数'!$E$12,IF(K289="修改",I289*'模板使用说明&amp;基础参数'!$E$7*'模板使用说明&amp;基础参数'!$E$11,I289*'模板使用说明&amp;基础参数'!$E$7*'模板使用说明&amp;基础参数'!$E$10)))))</f>
        <v>1.06666666666667</v>
      </c>
      <c r="M289" s="95"/>
      <c r="N289" s="99"/>
      <c r="O289" s="100"/>
    </row>
    <row r="290" s="70" customFormat="1" ht="25" customHeight="1" spans="1:15">
      <c r="A290" s="93">
        <v>285</v>
      </c>
      <c r="B290" s="94" t="s">
        <v>72</v>
      </c>
      <c r="C290" s="95" t="s">
        <v>73</v>
      </c>
      <c r="D290" s="95" t="s">
        <v>74</v>
      </c>
      <c r="E290" s="95" t="s">
        <v>74</v>
      </c>
      <c r="F290" s="95" t="s">
        <v>658</v>
      </c>
      <c r="G290" s="95" t="s">
        <v>659</v>
      </c>
      <c r="H290" s="93" t="s">
        <v>84</v>
      </c>
      <c r="I290" s="96">
        <f>IF(H290="ILF",IF($C$1="预估功能点",'模板使用说明&amp;基础参数'!$E$15,7),IF(H290="EIF",IF($C$1="预估功能点",'模板使用说明&amp;基础参数'!$E$16,5),IF(H290="EI",IF($C$1="预估功能点",'模板使用说明&amp;基础参数'!$E$17,'模板使用说明&amp;基础参数'!$E$24),IF(H290="EO",IF($C$1="预估功能点",'模板使用说明&amp;基础参数'!$E$18,'模板使用说明&amp;基础参数'!$E$25),IF(H290="EQ",IF($C$1="预估功能点",'模板使用说明&amp;基础参数'!$E$19,'模板使用说明&amp;基础参数'!$E$26),"")))))</f>
        <v>4</v>
      </c>
      <c r="J290" s="97" t="s">
        <v>38</v>
      </c>
      <c r="K290" s="97" t="s">
        <v>78</v>
      </c>
      <c r="L290" s="98">
        <f>IF(I290="","",IF(J290="高",IF(K290="删除",I290*'模板使用说明&amp;基础参数'!$E$5*'模板使用说明&amp;基础参数'!$E$12,IF(K290="修改",I290*'模板使用说明&amp;基础参数'!$E$5*'模板使用说明&amp;基础参数'!$E$11,I290*'模板使用说明&amp;基础参数'!$E$5*'模板使用说明&amp;基础参数'!$E$10)),IF(J290="中",IF(K290="删除",I290*'模板使用说明&amp;基础参数'!$E$6*'模板使用说明&amp;基础参数'!$E$12,IF(K290="修改",I290*'模板使用说明&amp;基础参数'!$E$6*'模板使用说明&amp;基础参数'!$E$11,I290*'模板使用说明&amp;基础参数'!$E$6*'模板使用说明&amp;基础参数'!$E$10)),IF(K290="删除",I290*'模板使用说明&amp;基础参数'!$E$7*'模板使用说明&amp;基础参数'!$E$12,IF(K290="修改",I290*'模板使用说明&amp;基础参数'!$E$7*'模板使用说明&amp;基础参数'!$E$11,I290*'模板使用说明&amp;基础参数'!$E$7*'模板使用说明&amp;基础参数'!$E$10)))))</f>
        <v>1.06666666666667</v>
      </c>
      <c r="M290" s="95"/>
      <c r="N290" s="99"/>
      <c r="O290" s="100"/>
    </row>
    <row r="291" s="70" customFormat="1" ht="25" customHeight="1" spans="1:15">
      <c r="A291" s="93">
        <v>286</v>
      </c>
      <c r="B291" s="94" t="s">
        <v>72</v>
      </c>
      <c r="C291" s="95" t="s">
        <v>73</v>
      </c>
      <c r="D291" s="95" t="s">
        <v>74</v>
      </c>
      <c r="E291" s="95" t="s">
        <v>74</v>
      </c>
      <c r="F291" s="95" t="s">
        <v>660</v>
      </c>
      <c r="G291" s="95" t="s">
        <v>661</v>
      </c>
      <c r="H291" s="93" t="s">
        <v>77</v>
      </c>
      <c r="I291" s="96">
        <f>IF(H291="ILF",IF($C$1="预估功能点",'模板使用说明&amp;基础参数'!$E$15,7),IF(H291="EIF",IF($C$1="预估功能点",'模板使用说明&amp;基础参数'!$E$16,5),IF(H291="EI",IF($C$1="预估功能点",'模板使用说明&amp;基础参数'!$E$17,'模板使用说明&amp;基础参数'!$E$24),IF(H291="EO",IF($C$1="预估功能点",'模板使用说明&amp;基础参数'!$E$18,'模板使用说明&amp;基础参数'!$E$25),IF(H291="EQ",IF($C$1="预估功能点",'模板使用说明&amp;基础参数'!$E$19,'模板使用说明&amp;基础参数'!$E$26),"")))))</f>
        <v>7</v>
      </c>
      <c r="J291" s="97" t="s">
        <v>38</v>
      </c>
      <c r="K291" s="97" t="s">
        <v>78</v>
      </c>
      <c r="L291" s="98">
        <f>IF(I291="","",IF(J291="高",IF(K291="删除",I291*'模板使用说明&amp;基础参数'!$E$5*'模板使用说明&amp;基础参数'!$E$12,IF(K291="修改",I291*'模板使用说明&amp;基础参数'!$E$5*'模板使用说明&amp;基础参数'!$E$11,I291*'模板使用说明&amp;基础参数'!$E$5*'模板使用说明&amp;基础参数'!$E$10)),IF(J291="中",IF(K291="删除",I291*'模板使用说明&amp;基础参数'!$E$6*'模板使用说明&amp;基础参数'!$E$12,IF(K291="修改",I291*'模板使用说明&amp;基础参数'!$E$6*'模板使用说明&amp;基础参数'!$E$11,I291*'模板使用说明&amp;基础参数'!$E$6*'模板使用说明&amp;基础参数'!$E$10)),IF(K291="删除",I291*'模板使用说明&amp;基础参数'!$E$7*'模板使用说明&amp;基础参数'!$E$12,IF(K291="修改",I291*'模板使用说明&amp;基础参数'!$E$7*'模板使用说明&amp;基础参数'!$E$11,I291*'模板使用说明&amp;基础参数'!$E$7*'模板使用说明&amp;基础参数'!$E$10)))))</f>
        <v>1.86666666666666</v>
      </c>
      <c r="M291" s="95"/>
      <c r="N291" s="99"/>
      <c r="O291" s="100"/>
    </row>
    <row r="292" s="70" customFormat="1" ht="25" customHeight="1" spans="1:15">
      <c r="A292" s="93">
        <v>287</v>
      </c>
      <c r="B292" s="94" t="s">
        <v>72</v>
      </c>
      <c r="C292" s="95" t="s">
        <v>73</v>
      </c>
      <c r="D292" s="95" t="s">
        <v>74</v>
      </c>
      <c r="E292" s="95" t="s">
        <v>74</v>
      </c>
      <c r="F292" s="95" t="s">
        <v>662</v>
      </c>
      <c r="G292" s="95" t="s">
        <v>663</v>
      </c>
      <c r="H292" s="93" t="s">
        <v>81</v>
      </c>
      <c r="I292" s="96">
        <f>IF(H292="ILF",IF($C$1="预估功能点",'模板使用说明&amp;基础参数'!$E$15,7),IF(H292="EIF",IF($C$1="预估功能点",'模板使用说明&amp;基础参数'!$E$16,5),IF(H292="EI",IF($C$1="预估功能点",'模板使用说明&amp;基础参数'!$E$17,'模板使用说明&amp;基础参数'!$E$24),IF(H292="EO",IF($C$1="预估功能点",'模板使用说明&amp;基础参数'!$E$18,'模板使用说明&amp;基础参数'!$E$25),IF(H292="EQ",IF($C$1="预估功能点",'模板使用说明&amp;基础参数'!$E$19,'模板使用说明&amp;基础参数'!$E$26),"")))))</f>
        <v>4</v>
      </c>
      <c r="J292" s="97" t="s">
        <v>38</v>
      </c>
      <c r="K292" s="97" t="s">
        <v>78</v>
      </c>
      <c r="L292" s="98">
        <f>IF(I292="","",IF(J292="高",IF(K292="删除",I292*'模板使用说明&amp;基础参数'!$E$5*'模板使用说明&amp;基础参数'!$E$12,IF(K292="修改",I292*'模板使用说明&amp;基础参数'!$E$5*'模板使用说明&amp;基础参数'!$E$11,I292*'模板使用说明&amp;基础参数'!$E$5*'模板使用说明&amp;基础参数'!$E$10)),IF(J292="中",IF(K292="删除",I292*'模板使用说明&amp;基础参数'!$E$6*'模板使用说明&amp;基础参数'!$E$12,IF(K292="修改",I292*'模板使用说明&amp;基础参数'!$E$6*'模板使用说明&amp;基础参数'!$E$11,I292*'模板使用说明&amp;基础参数'!$E$6*'模板使用说明&amp;基础参数'!$E$10)),IF(K292="删除",I292*'模板使用说明&amp;基础参数'!$E$7*'模板使用说明&amp;基础参数'!$E$12,IF(K292="修改",I292*'模板使用说明&amp;基础参数'!$E$7*'模板使用说明&amp;基础参数'!$E$11,I292*'模板使用说明&amp;基础参数'!$E$7*'模板使用说明&amp;基础参数'!$E$10)))))</f>
        <v>1.06666666666667</v>
      </c>
      <c r="M292" s="95"/>
      <c r="N292" s="99"/>
      <c r="O292" s="100"/>
    </row>
    <row r="293" s="70" customFormat="1" ht="25" customHeight="1" spans="1:15">
      <c r="A293" s="93">
        <v>288</v>
      </c>
      <c r="B293" s="94" t="s">
        <v>72</v>
      </c>
      <c r="C293" s="95" t="s">
        <v>73</v>
      </c>
      <c r="D293" s="95" t="s">
        <v>74</v>
      </c>
      <c r="E293" s="95" t="s">
        <v>74</v>
      </c>
      <c r="F293" s="95" t="s">
        <v>664</v>
      </c>
      <c r="G293" s="95" t="s">
        <v>665</v>
      </c>
      <c r="H293" s="93" t="s">
        <v>84</v>
      </c>
      <c r="I293" s="96">
        <f>IF(H293="ILF",IF($C$1="预估功能点",'模板使用说明&amp;基础参数'!$E$15,7),IF(H293="EIF",IF($C$1="预估功能点",'模板使用说明&amp;基础参数'!$E$16,5),IF(H293="EI",IF($C$1="预估功能点",'模板使用说明&amp;基础参数'!$E$17,'模板使用说明&amp;基础参数'!$E$24),IF(H293="EO",IF($C$1="预估功能点",'模板使用说明&amp;基础参数'!$E$18,'模板使用说明&amp;基础参数'!$E$25),IF(H293="EQ",IF($C$1="预估功能点",'模板使用说明&amp;基础参数'!$E$19,'模板使用说明&amp;基础参数'!$E$26),"")))))</f>
        <v>4</v>
      </c>
      <c r="J293" s="97" t="s">
        <v>38</v>
      </c>
      <c r="K293" s="97" t="s">
        <v>78</v>
      </c>
      <c r="L293" s="98">
        <f>IF(I293="","",IF(J293="高",IF(K293="删除",I293*'模板使用说明&amp;基础参数'!$E$5*'模板使用说明&amp;基础参数'!$E$12,IF(K293="修改",I293*'模板使用说明&amp;基础参数'!$E$5*'模板使用说明&amp;基础参数'!$E$11,I293*'模板使用说明&amp;基础参数'!$E$5*'模板使用说明&amp;基础参数'!$E$10)),IF(J293="中",IF(K293="删除",I293*'模板使用说明&amp;基础参数'!$E$6*'模板使用说明&amp;基础参数'!$E$12,IF(K293="修改",I293*'模板使用说明&amp;基础参数'!$E$6*'模板使用说明&amp;基础参数'!$E$11,I293*'模板使用说明&amp;基础参数'!$E$6*'模板使用说明&amp;基础参数'!$E$10)),IF(K293="删除",I293*'模板使用说明&amp;基础参数'!$E$7*'模板使用说明&amp;基础参数'!$E$12,IF(K293="修改",I293*'模板使用说明&amp;基础参数'!$E$7*'模板使用说明&amp;基础参数'!$E$11,I293*'模板使用说明&amp;基础参数'!$E$7*'模板使用说明&amp;基础参数'!$E$10)))))</f>
        <v>1.06666666666667</v>
      </c>
      <c r="M293" s="95"/>
      <c r="N293" s="99"/>
      <c r="O293" s="100"/>
    </row>
    <row r="294" s="70" customFormat="1" ht="25" customHeight="1" spans="1:15">
      <c r="A294" s="93">
        <v>289</v>
      </c>
      <c r="B294" s="94" t="s">
        <v>72</v>
      </c>
      <c r="C294" s="95" t="s">
        <v>73</v>
      </c>
      <c r="D294" s="95" t="s">
        <v>74</v>
      </c>
      <c r="E294" s="95" t="s">
        <v>74</v>
      </c>
      <c r="F294" s="95" t="s">
        <v>666</v>
      </c>
      <c r="G294" s="95" t="s">
        <v>667</v>
      </c>
      <c r="H294" s="93" t="s">
        <v>84</v>
      </c>
      <c r="I294" s="96">
        <f>IF(H294="ILF",IF($C$1="预估功能点",'模板使用说明&amp;基础参数'!$E$15,7),IF(H294="EIF",IF($C$1="预估功能点",'模板使用说明&amp;基础参数'!$E$16,5),IF(H294="EI",IF($C$1="预估功能点",'模板使用说明&amp;基础参数'!$E$17,'模板使用说明&amp;基础参数'!$E$24),IF(H294="EO",IF($C$1="预估功能点",'模板使用说明&amp;基础参数'!$E$18,'模板使用说明&amp;基础参数'!$E$25),IF(H294="EQ",IF($C$1="预估功能点",'模板使用说明&amp;基础参数'!$E$19,'模板使用说明&amp;基础参数'!$E$26),"")))))</f>
        <v>4</v>
      </c>
      <c r="J294" s="97" t="s">
        <v>38</v>
      </c>
      <c r="K294" s="97" t="s">
        <v>78</v>
      </c>
      <c r="L294" s="98">
        <f>IF(I294="","",IF(J294="高",IF(K294="删除",I294*'模板使用说明&amp;基础参数'!$E$5*'模板使用说明&amp;基础参数'!$E$12,IF(K294="修改",I294*'模板使用说明&amp;基础参数'!$E$5*'模板使用说明&amp;基础参数'!$E$11,I294*'模板使用说明&amp;基础参数'!$E$5*'模板使用说明&amp;基础参数'!$E$10)),IF(J294="中",IF(K294="删除",I294*'模板使用说明&amp;基础参数'!$E$6*'模板使用说明&amp;基础参数'!$E$12,IF(K294="修改",I294*'模板使用说明&amp;基础参数'!$E$6*'模板使用说明&amp;基础参数'!$E$11,I294*'模板使用说明&amp;基础参数'!$E$6*'模板使用说明&amp;基础参数'!$E$10)),IF(K294="删除",I294*'模板使用说明&amp;基础参数'!$E$7*'模板使用说明&amp;基础参数'!$E$12,IF(K294="修改",I294*'模板使用说明&amp;基础参数'!$E$7*'模板使用说明&amp;基础参数'!$E$11,I294*'模板使用说明&amp;基础参数'!$E$7*'模板使用说明&amp;基础参数'!$E$10)))))</f>
        <v>1.06666666666667</v>
      </c>
      <c r="M294" s="95"/>
      <c r="N294" s="99"/>
      <c r="O294" s="100"/>
    </row>
    <row r="295" s="70" customFormat="1" ht="25" customHeight="1" spans="1:15">
      <c r="A295" s="93">
        <v>290</v>
      </c>
      <c r="B295" s="94" t="s">
        <v>72</v>
      </c>
      <c r="C295" s="95" t="s">
        <v>73</v>
      </c>
      <c r="D295" s="95" t="s">
        <v>74</v>
      </c>
      <c r="E295" s="95" t="s">
        <v>74</v>
      </c>
      <c r="F295" s="95" t="s">
        <v>668</v>
      </c>
      <c r="G295" s="95" t="s">
        <v>669</v>
      </c>
      <c r="H295" s="93" t="s">
        <v>84</v>
      </c>
      <c r="I295" s="96">
        <f>IF(H295="ILF",IF($C$1="预估功能点",'模板使用说明&amp;基础参数'!$E$15,7),IF(H295="EIF",IF($C$1="预估功能点",'模板使用说明&amp;基础参数'!$E$16,5),IF(H295="EI",IF($C$1="预估功能点",'模板使用说明&amp;基础参数'!$E$17,'模板使用说明&amp;基础参数'!$E$24),IF(H295="EO",IF($C$1="预估功能点",'模板使用说明&amp;基础参数'!$E$18,'模板使用说明&amp;基础参数'!$E$25),IF(H295="EQ",IF($C$1="预估功能点",'模板使用说明&amp;基础参数'!$E$19,'模板使用说明&amp;基础参数'!$E$26),"")))))</f>
        <v>4</v>
      </c>
      <c r="J295" s="97" t="s">
        <v>38</v>
      </c>
      <c r="K295" s="97" t="s">
        <v>78</v>
      </c>
      <c r="L295" s="98">
        <f>IF(I295="","",IF(J295="高",IF(K295="删除",I295*'模板使用说明&amp;基础参数'!$E$5*'模板使用说明&amp;基础参数'!$E$12,IF(K295="修改",I295*'模板使用说明&amp;基础参数'!$E$5*'模板使用说明&amp;基础参数'!$E$11,I295*'模板使用说明&amp;基础参数'!$E$5*'模板使用说明&amp;基础参数'!$E$10)),IF(J295="中",IF(K295="删除",I295*'模板使用说明&amp;基础参数'!$E$6*'模板使用说明&amp;基础参数'!$E$12,IF(K295="修改",I295*'模板使用说明&amp;基础参数'!$E$6*'模板使用说明&amp;基础参数'!$E$11,I295*'模板使用说明&amp;基础参数'!$E$6*'模板使用说明&amp;基础参数'!$E$10)),IF(K295="删除",I295*'模板使用说明&amp;基础参数'!$E$7*'模板使用说明&amp;基础参数'!$E$12,IF(K295="修改",I295*'模板使用说明&amp;基础参数'!$E$7*'模板使用说明&amp;基础参数'!$E$11,I295*'模板使用说明&amp;基础参数'!$E$7*'模板使用说明&amp;基础参数'!$E$10)))))</f>
        <v>1.06666666666667</v>
      </c>
      <c r="M295" s="95"/>
      <c r="N295" s="99"/>
      <c r="O295" s="100"/>
    </row>
    <row r="296" s="70" customFormat="1" ht="25" customHeight="1" spans="1:15">
      <c r="A296" s="93">
        <v>291</v>
      </c>
      <c r="B296" s="94" t="s">
        <v>72</v>
      </c>
      <c r="C296" s="95" t="s">
        <v>73</v>
      </c>
      <c r="D296" s="95" t="s">
        <v>74</v>
      </c>
      <c r="E296" s="95" t="s">
        <v>74</v>
      </c>
      <c r="F296" s="95" t="s">
        <v>670</v>
      </c>
      <c r="G296" s="95" t="s">
        <v>671</v>
      </c>
      <c r="H296" s="93" t="s">
        <v>77</v>
      </c>
      <c r="I296" s="96">
        <f>IF(H296="ILF",IF($C$1="预估功能点",'模板使用说明&amp;基础参数'!$E$15,7),IF(H296="EIF",IF($C$1="预估功能点",'模板使用说明&amp;基础参数'!$E$16,5),IF(H296="EI",IF($C$1="预估功能点",'模板使用说明&amp;基础参数'!$E$17,'模板使用说明&amp;基础参数'!$E$24),IF(H296="EO",IF($C$1="预估功能点",'模板使用说明&amp;基础参数'!$E$18,'模板使用说明&amp;基础参数'!$E$25),IF(H296="EQ",IF($C$1="预估功能点",'模板使用说明&amp;基础参数'!$E$19,'模板使用说明&amp;基础参数'!$E$26),"")))))</f>
        <v>7</v>
      </c>
      <c r="J296" s="97" t="s">
        <v>38</v>
      </c>
      <c r="K296" s="97" t="s">
        <v>78</v>
      </c>
      <c r="L296" s="98">
        <f>IF(I296="","",IF(J296="高",IF(K296="删除",I296*'模板使用说明&amp;基础参数'!$E$5*'模板使用说明&amp;基础参数'!$E$12,IF(K296="修改",I296*'模板使用说明&amp;基础参数'!$E$5*'模板使用说明&amp;基础参数'!$E$11,I296*'模板使用说明&amp;基础参数'!$E$5*'模板使用说明&amp;基础参数'!$E$10)),IF(J296="中",IF(K296="删除",I296*'模板使用说明&amp;基础参数'!$E$6*'模板使用说明&amp;基础参数'!$E$12,IF(K296="修改",I296*'模板使用说明&amp;基础参数'!$E$6*'模板使用说明&amp;基础参数'!$E$11,I296*'模板使用说明&amp;基础参数'!$E$6*'模板使用说明&amp;基础参数'!$E$10)),IF(K296="删除",I296*'模板使用说明&amp;基础参数'!$E$7*'模板使用说明&amp;基础参数'!$E$12,IF(K296="修改",I296*'模板使用说明&amp;基础参数'!$E$7*'模板使用说明&amp;基础参数'!$E$11,I296*'模板使用说明&amp;基础参数'!$E$7*'模板使用说明&amp;基础参数'!$E$10)))))</f>
        <v>1.86666666666666</v>
      </c>
      <c r="M296" s="95"/>
      <c r="N296" s="99"/>
      <c r="O296" s="100"/>
    </row>
    <row r="297" s="70" customFormat="1" ht="25" customHeight="1" spans="1:15">
      <c r="A297" s="93">
        <v>292</v>
      </c>
      <c r="B297" s="94" t="s">
        <v>72</v>
      </c>
      <c r="C297" s="95" t="s">
        <v>73</v>
      </c>
      <c r="D297" s="95" t="s">
        <v>74</v>
      </c>
      <c r="E297" s="95" t="s">
        <v>74</v>
      </c>
      <c r="F297" s="95" t="s">
        <v>672</v>
      </c>
      <c r="G297" s="95" t="s">
        <v>673</v>
      </c>
      <c r="H297" s="93" t="s">
        <v>81</v>
      </c>
      <c r="I297" s="96">
        <f>IF(H297="ILF",IF($C$1="预估功能点",'模板使用说明&amp;基础参数'!$E$15,7),IF(H297="EIF",IF($C$1="预估功能点",'模板使用说明&amp;基础参数'!$E$16,5),IF(H297="EI",IF($C$1="预估功能点",'模板使用说明&amp;基础参数'!$E$17,'模板使用说明&amp;基础参数'!$E$24),IF(H297="EO",IF($C$1="预估功能点",'模板使用说明&amp;基础参数'!$E$18,'模板使用说明&amp;基础参数'!$E$25),IF(H297="EQ",IF($C$1="预估功能点",'模板使用说明&amp;基础参数'!$E$19,'模板使用说明&amp;基础参数'!$E$26),"")))))</f>
        <v>4</v>
      </c>
      <c r="J297" s="97" t="s">
        <v>38</v>
      </c>
      <c r="K297" s="97" t="s">
        <v>78</v>
      </c>
      <c r="L297" s="98">
        <f>IF(I297="","",IF(J297="高",IF(K297="删除",I297*'模板使用说明&amp;基础参数'!$E$5*'模板使用说明&amp;基础参数'!$E$12,IF(K297="修改",I297*'模板使用说明&amp;基础参数'!$E$5*'模板使用说明&amp;基础参数'!$E$11,I297*'模板使用说明&amp;基础参数'!$E$5*'模板使用说明&amp;基础参数'!$E$10)),IF(J297="中",IF(K297="删除",I297*'模板使用说明&amp;基础参数'!$E$6*'模板使用说明&amp;基础参数'!$E$12,IF(K297="修改",I297*'模板使用说明&amp;基础参数'!$E$6*'模板使用说明&amp;基础参数'!$E$11,I297*'模板使用说明&amp;基础参数'!$E$6*'模板使用说明&amp;基础参数'!$E$10)),IF(K297="删除",I297*'模板使用说明&amp;基础参数'!$E$7*'模板使用说明&amp;基础参数'!$E$12,IF(K297="修改",I297*'模板使用说明&amp;基础参数'!$E$7*'模板使用说明&amp;基础参数'!$E$11,I297*'模板使用说明&amp;基础参数'!$E$7*'模板使用说明&amp;基础参数'!$E$10)))))</f>
        <v>1.06666666666667</v>
      </c>
      <c r="M297" s="95"/>
      <c r="N297" s="99"/>
      <c r="O297" s="100"/>
    </row>
    <row r="298" s="70" customFormat="1" ht="25" customHeight="1" spans="1:15">
      <c r="A298" s="93">
        <v>293</v>
      </c>
      <c r="B298" s="94" t="s">
        <v>72</v>
      </c>
      <c r="C298" s="95" t="s">
        <v>73</v>
      </c>
      <c r="D298" s="95" t="s">
        <v>74</v>
      </c>
      <c r="E298" s="95" t="s">
        <v>74</v>
      </c>
      <c r="F298" s="95" t="s">
        <v>674</v>
      </c>
      <c r="G298" s="95" t="s">
        <v>675</v>
      </c>
      <c r="H298" s="93" t="s">
        <v>84</v>
      </c>
      <c r="I298" s="96">
        <f>IF(H298="ILF",IF($C$1="预估功能点",'模板使用说明&amp;基础参数'!$E$15,7),IF(H298="EIF",IF($C$1="预估功能点",'模板使用说明&amp;基础参数'!$E$16,5),IF(H298="EI",IF($C$1="预估功能点",'模板使用说明&amp;基础参数'!$E$17,'模板使用说明&amp;基础参数'!$E$24),IF(H298="EO",IF($C$1="预估功能点",'模板使用说明&amp;基础参数'!$E$18,'模板使用说明&amp;基础参数'!$E$25),IF(H298="EQ",IF($C$1="预估功能点",'模板使用说明&amp;基础参数'!$E$19,'模板使用说明&amp;基础参数'!$E$26),"")))))</f>
        <v>4</v>
      </c>
      <c r="J298" s="97" t="s">
        <v>38</v>
      </c>
      <c r="K298" s="97" t="s">
        <v>78</v>
      </c>
      <c r="L298" s="98">
        <f>IF(I298="","",IF(J298="高",IF(K298="删除",I298*'模板使用说明&amp;基础参数'!$E$5*'模板使用说明&amp;基础参数'!$E$12,IF(K298="修改",I298*'模板使用说明&amp;基础参数'!$E$5*'模板使用说明&amp;基础参数'!$E$11,I298*'模板使用说明&amp;基础参数'!$E$5*'模板使用说明&amp;基础参数'!$E$10)),IF(J298="中",IF(K298="删除",I298*'模板使用说明&amp;基础参数'!$E$6*'模板使用说明&amp;基础参数'!$E$12,IF(K298="修改",I298*'模板使用说明&amp;基础参数'!$E$6*'模板使用说明&amp;基础参数'!$E$11,I298*'模板使用说明&amp;基础参数'!$E$6*'模板使用说明&amp;基础参数'!$E$10)),IF(K298="删除",I298*'模板使用说明&amp;基础参数'!$E$7*'模板使用说明&amp;基础参数'!$E$12,IF(K298="修改",I298*'模板使用说明&amp;基础参数'!$E$7*'模板使用说明&amp;基础参数'!$E$11,I298*'模板使用说明&amp;基础参数'!$E$7*'模板使用说明&amp;基础参数'!$E$10)))))</f>
        <v>1.06666666666667</v>
      </c>
      <c r="M298" s="95"/>
      <c r="N298" s="99"/>
      <c r="O298" s="100"/>
    </row>
    <row r="299" s="70" customFormat="1" ht="25" customHeight="1" spans="1:15">
      <c r="A299" s="93">
        <v>294</v>
      </c>
      <c r="B299" s="94" t="s">
        <v>72</v>
      </c>
      <c r="C299" s="95" t="s">
        <v>73</v>
      </c>
      <c r="D299" s="95" t="s">
        <v>74</v>
      </c>
      <c r="E299" s="95" t="s">
        <v>74</v>
      </c>
      <c r="F299" s="95" t="s">
        <v>676</v>
      </c>
      <c r="G299" s="95" t="s">
        <v>677</v>
      </c>
      <c r="H299" s="93" t="s">
        <v>84</v>
      </c>
      <c r="I299" s="96">
        <f>IF(H299="ILF",IF($C$1="预估功能点",'模板使用说明&amp;基础参数'!$E$15,7),IF(H299="EIF",IF($C$1="预估功能点",'模板使用说明&amp;基础参数'!$E$16,5),IF(H299="EI",IF($C$1="预估功能点",'模板使用说明&amp;基础参数'!$E$17,'模板使用说明&amp;基础参数'!$E$24),IF(H299="EO",IF($C$1="预估功能点",'模板使用说明&amp;基础参数'!$E$18,'模板使用说明&amp;基础参数'!$E$25),IF(H299="EQ",IF($C$1="预估功能点",'模板使用说明&amp;基础参数'!$E$19,'模板使用说明&amp;基础参数'!$E$26),"")))))</f>
        <v>4</v>
      </c>
      <c r="J299" s="97" t="s">
        <v>38</v>
      </c>
      <c r="K299" s="97" t="s">
        <v>78</v>
      </c>
      <c r="L299" s="98">
        <f>IF(I299="","",IF(J299="高",IF(K299="删除",I299*'模板使用说明&amp;基础参数'!$E$5*'模板使用说明&amp;基础参数'!$E$12,IF(K299="修改",I299*'模板使用说明&amp;基础参数'!$E$5*'模板使用说明&amp;基础参数'!$E$11,I299*'模板使用说明&amp;基础参数'!$E$5*'模板使用说明&amp;基础参数'!$E$10)),IF(J299="中",IF(K299="删除",I299*'模板使用说明&amp;基础参数'!$E$6*'模板使用说明&amp;基础参数'!$E$12,IF(K299="修改",I299*'模板使用说明&amp;基础参数'!$E$6*'模板使用说明&amp;基础参数'!$E$11,I299*'模板使用说明&amp;基础参数'!$E$6*'模板使用说明&amp;基础参数'!$E$10)),IF(K299="删除",I299*'模板使用说明&amp;基础参数'!$E$7*'模板使用说明&amp;基础参数'!$E$12,IF(K299="修改",I299*'模板使用说明&amp;基础参数'!$E$7*'模板使用说明&amp;基础参数'!$E$11,I299*'模板使用说明&amp;基础参数'!$E$7*'模板使用说明&amp;基础参数'!$E$10)))))</f>
        <v>1.06666666666667</v>
      </c>
      <c r="M299" s="95"/>
      <c r="N299" s="99"/>
      <c r="O299" s="100"/>
    </row>
    <row r="300" s="70" customFormat="1" ht="25" customHeight="1" spans="1:15">
      <c r="A300" s="93">
        <v>295</v>
      </c>
      <c r="B300" s="94" t="s">
        <v>72</v>
      </c>
      <c r="C300" s="95" t="s">
        <v>73</v>
      </c>
      <c r="D300" s="95" t="s">
        <v>74</v>
      </c>
      <c r="E300" s="95" t="s">
        <v>74</v>
      </c>
      <c r="F300" s="95" t="s">
        <v>678</v>
      </c>
      <c r="G300" s="95" t="s">
        <v>679</v>
      </c>
      <c r="H300" s="93" t="s">
        <v>84</v>
      </c>
      <c r="I300" s="96">
        <f>IF(H300="ILF",IF($C$1="预估功能点",'模板使用说明&amp;基础参数'!$E$15,7),IF(H300="EIF",IF($C$1="预估功能点",'模板使用说明&amp;基础参数'!$E$16,5),IF(H300="EI",IF($C$1="预估功能点",'模板使用说明&amp;基础参数'!$E$17,'模板使用说明&amp;基础参数'!$E$24),IF(H300="EO",IF($C$1="预估功能点",'模板使用说明&amp;基础参数'!$E$18,'模板使用说明&amp;基础参数'!$E$25),IF(H300="EQ",IF($C$1="预估功能点",'模板使用说明&amp;基础参数'!$E$19,'模板使用说明&amp;基础参数'!$E$26),"")))))</f>
        <v>4</v>
      </c>
      <c r="J300" s="97" t="s">
        <v>38</v>
      </c>
      <c r="K300" s="97" t="s">
        <v>78</v>
      </c>
      <c r="L300" s="98">
        <f>IF(I300="","",IF(J300="高",IF(K300="删除",I300*'模板使用说明&amp;基础参数'!$E$5*'模板使用说明&amp;基础参数'!$E$12,IF(K300="修改",I300*'模板使用说明&amp;基础参数'!$E$5*'模板使用说明&amp;基础参数'!$E$11,I300*'模板使用说明&amp;基础参数'!$E$5*'模板使用说明&amp;基础参数'!$E$10)),IF(J300="中",IF(K300="删除",I300*'模板使用说明&amp;基础参数'!$E$6*'模板使用说明&amp;基础参数'!$E$12,IF(K300="修改",I300*'模板使用说明&amp;基础参数'!$E$6*'模板使用说明&amp;基础参数'!$E$11,I300*'模板使用说明&amp;基础参数'!$E$6*'模板使用说明&amp;基础参数'!$E$10)),IF(K300="删除",I300*'模板使用说明&amp;基础参数'!$E$7*'模板使用说明&amp;基础参数'!$E$12,IF(K300="修改",I300*'模板使用说明&amp;基础参数'!$E$7*'模板使用说明&amp;基础参数'!$E$11,I300*'模板使用说明&amp;基础参数'!$E$7*'模板使用说明&amp;基础参数'!$E$10)))))</f>
        <v>1.06666666666667</v>
      </c>
      <c r="M300" s="95"/>
      <c r="N300" s="99"/>
      <c r="O300" s="100"/>
    </row>
    <row r="301" s="70" customFormat="1" ht="25" customHeight="1" spans="1:15">
      <c r="A301" s="93">
        <v>296</v>
      </c>
      <c r="B301" s="94" t="s">
        <v>72</v>
      </c>
      <c r="C301" s="95" t="s">
        <v>73</v>
      </c>
      <c r="D301" s="95" t="s">
        <v>74</v>
      </c>
      <c r="E301" s="95" t="s">
        <v>74</v>
      </c>
      <c r="F301" s="95" t="s">
        <v>680</v>
      </c>
      <c r="G301" s="95" t="s">
        <v>681</v>
      </c>
      <c r="H301" s="93" t="s">
        <v>77</v>
      </c>
      <c r="I301" s="96">
        <f>IF(H301="ILF",IF($C$1="预估功能点",'模板使用说明&amp;基础参数'!$E$15,7),IF(H301="EIF",IF($C$1="预估功能点",'模板使用说明&amp;基础参数'!$E$16,5),IF(H301="EI",IF($C$1="预估功能点",'模板使用说明&amp;基础参数'!$E$17,'模板使用说明&amp;基础参数'!$E$24),IF(H301="EO",IF($C$1="预估功能点",'模板使用说明&amp;基础参数'!$E$18,'模板使用说明&amp;基础参数'!$E$25),IF(H301="EQ",IF($C$1="预估功能点",'模板使用说明&amp;基础参数'!$E$19,'模板使用说明&amp;基础参数'!$E$26),"")))))</f>
        <v>7</v>
      </c>
      <c r="J301" s="97" t="s">
        <v>38</v>
      </c>
      <c r="K301" s="97" t="s">
        <v>78</v>
      </c>
      <c r="L301" s="98">
        <f>IF(I301="","",IF(J301="高",IF(K301="删除",I301*'模板使用说明&amp;基础参数'!$E$5*'模板使用说明&amp;基础参数'!$E$12,IF(K301="修改",I301*'模板使用说明&amp;基础参数'!$E$5*'模板使用说明&amp;基础参数'!$E$11,I301*'模板使用说明&amp;基础参数'!$E$5*'模板使用说明&amp;基础参数'!$E$10)),IF(J301="中",IF(K301="删除",I301*'模板使用说明&amp;基础参数'!$E$6*'模板使用说明&amp;基础参数'!$E$12,IF(K301="修改",I301*'模板使用说明&amp;基础参数'!$E$6*'模板使用说明&amp;基础参数'!$E$11,I301*'模板使用说明&amp;基础参数'!$E$6*'模板使用说明&amp;基础参数'!$E$10)),IF(K301="删除",I301*'模板使用说明&amp;基础参数'!$E$7*'模板使用说明&amp;基础参数'!$E$12,IF(K301="修改",I301*'模板使用说明&amp;基础参数'!$E$7*'模板使用说明&amp;基础参数'!$E$11,I301*'模板使用说明&amp;基础参数'!$E$7*'模板使用说明&amp;基础参数'!$E$10)))))</f>
        <v>1.86666666666666</v>
      </c>
      <c r="M301" s="95"/>
      <c r="N301" s="99"/>
      <c r="O301" s="100"/>
    </row>
    <row r="302" s="70" customFormat="1" ht="25" customHeight="1" spans="1:15">
      <c r="A302" s="93">
        <v>297</v>
      </c>
      <c r="B302" s="94" t="s">
        <v>72</v>
      </c>
      <c r="C302" s="95" t="s">
        <v>73</v>
      </c>
      <c r="D302" s="95" t="s">
        <v>74</v>
      </c>
      <c r="E302" s="95" t="s">
        <v>74</v>
      </c>
      <c r="F302" s="95" t="s">
        <v>682</v>
      </c>
      <c r="G302" s="95" t="s">
        <v>683</v>
      </c>
      <c r="H302" s="93" t="s">
        <v>81</v>
      </c>
      <c r="I302" s="96">
        <f>IF(H302="ILF",IF($C$1="预估功能点",'模板使用说明&amp;基础参数'!$E$15,7),IF(H302="EIF",IF($C$1="预估功能点",'模板使用说明&amp;基础参数'!$E$16,5),IF(H302="EI",IF($C$1="预估功能点",'模板使用说明&amp;基础参数'!$E$17,'模板使用说明&amp;基础参数'!$E$24),IF(H302="EO",IF($C$1="预估功能点",'模板使用说明&amp;基础参数'!$E$18,'模板使用说明&amp;基础参数'!$E$25),IF(H302="EQ",IF($C$1="预估功能点",'模板使用说明&amp;基础参数'!$E$19,'模板使用说明&amp;基础参数'!$E$26),"")))))</f>
        <v>4</v>
      </c>
      <c r="J302" s="97" t="s">
        <v>38</v>
      </c>
      <c r="K302" s="97" t="s">
        <v>78</v>
      </c>
      <c r="L302" s="98">
        <f>IF(I302="","",IF(J302="高",IF(K302="删除",I302*'模板使用说明&amp;基础参数'!$E$5*'模板使用说明&amp;基础参数'!$E$12,IF(K302="修改",I302*'模板使用说明&amp;基础参数'!$E$5*'模板使用说明&amp;基础参数'!$E$11,I302*'模板使用说明&amp;基础参数'!$E$5*'模板使用说明&amp;基础参数'!$E$10)),IF(J302="中",IF(K302="删除",I302*'模板使用说明&amp;基础参数'!$E$6*'模板使用说明&amp;基础参数'!$E$12,IF(K302="修改",I302*'模板使用说明&amp;基础参数'!$E$6*'模板使用说明&amp;基础参数'!$E$11,I302*'模板使用说明&amp;基础参数'!$E$6*'模板使用说明&amp;基础参数'!$E$10)),IF(K302="删除",I302*'模板使用说明&amp;基础参数'!$E$7*'模板使用说明&amp;基础参数'!$E$12,IF(K302="修改",I302*'模板使用说明&amp;基础参数'!$E$7*'模板使用说明&amp;基础参数'!$E$11,I302*'模板使用说明&amp;基础参数'!$E$7*'模板使用说明&amp;基础参数'!$E$10)))))</f>
        <v>1.06666666666667</v>
      </c>
      <c r="M302" s="95"/>
      <c r="N302" s="99"/>
      <c r="O302" s="100"/>
    </row>
    <row r="303" s="70" customFormat="1" ht="25" customHeight="1" spans="1:15">
      <c r="A303" s="93">
        <v>298</v>
      </c>
      <c r="B303" s="94" t="s">
        <v>72</v>
      </c>
      <c r="C303" s="95" t="s">
        <v>73</v>
      </c>
      <c r="D303" s="95" t="s">
        <v>74</v>
      </c>
      <c r="E303" s="95" t="s">
        <v>74</v>
      </c>
      <c r="F303" s="95" t="s">
        <v>684</v>
      </c>
      <c r="G303" s="95" t="s">
        <v>685</v>
      </c>
      <c r="H303" s="93" t="s">
        <v>84</v>
      </c>
      <c r="I303" s="96">
        <f>IF(H303="ILF",IF($C$1="预估功能点",'模板使用说明&amp;基础参数'!$E$15,7),IF(H303="EIF",IF($C$1="预估功能点",'模板使用说明&amp;基础参数'!$E$16,5),IF(H303="EI",IF($C$1="预估功能点",'模板使用说明&amp;基础参数'!$E$17,'模板使用说明&amp;基础参数'!$E$24),IF(H303="EO",IF($C$1="预估功能点",'模板使用说明&amp;基础参数'!$E$18,'模板使用说明&amp;基础参数'!$E$25),IF(H303="EQ",IF($C$1="预估功能点",'模板使用说明&amp;基础参数'!$E$19,'模板使用说明&amp;基础参数'!$E$26),"")))))</f>
        <v>4</v>
      </c>
      <c r="J303" s="97" t="s">
        <v>38</v>
      </c>
      <c r="K303" s="97" t="s">
        <v>78</v>
      </c>
      <c r="L303" s="98">
        <f>IF(I303="","",IF(J303="高",IF(K303="删除",I303*'模板使用说明&amp;基础参数'!$E$5*'模板使用说明&amp;基础参数'!$E$12,IF(K303="修改",I303*'模板使用说明&amp;基础参数'!$E$5*'模板使用说明&amp;基础参数'!$E$11,I303*'模板使用说明&amp;基础参数'!$E$5*'模板使用说明&amp;基础参数'!$E$10)),IF(J303="中",IF(K303="删除",I303*'模板使用说明&amp;基础参数'!$E$6*'模板使用说明&amp;基础参数'!$E$12,IF(K303="修改",I303*'模板使用说明&amp;基础参数'!$E$6*'模板使用说明&amp;基础参数'!$E$11,I303*'模板使用说明&amp;基础参数'!$E$6*'模板使用说明&amp;基础参数'!$E$10)),IF(K303="删除",I303*'模板使用说明&amp;基础参数'!$E$7*'模板使用说明&amp;基础参数'!$E$12,IF(K303="修改",I303*'模板使用说明&amp;基础参数'!$E$7*'模板使用说明&amp;基础参数'!$E$11,I303*'模板使用说明&amp;基础参数'!$E$7*'模板使用说明&amp;基础参数'!$E$10)))))</f>
        <v>1.06666666666667</v>
      </c>
      <c r="M303" s="95"/>
      <c r="N303" s="99"/>
      <c r="O303" s="100"/>
    </row>
    <row r="304" s="70" customFormat="1" ht="25" customHeight="1" spans="1:15">
      <c r="A304" s="93">
        <v>299</v>
      </c>
      <c r="B304" s="94" t="s">
        <v>72</v>
      </c>
      <c r="C304" s="95" t="s">
        <v>73</v>
      </c>
      <c r="D304" s="95" t="s">
        <v>74</v>
      </c>
      <c r="E304" s="95" t="s">
        <v>74</v>
      </c>
      <c r="F304" s="95" t="s">
        <v>686</v>
      </c>
      <c r="G304" s="95" t="s">
        <v>687</v>
      </c>
      <c r="H304" s="93" t="s">
        <v>84</v>
      </c>
      <c r="I304" s="96">
        <f>IF(H304="ILF",IF($C$1="预估功能点",'模板使用说明&amp;基础参数'!$E$15,7),IF(H304="EIF",IF($C$1="预估功能点",'模板使用说明&amp;基础参数'!$E$16,5),IF(H304="EI",IF($C$1="预估功能点",'模板使用说明&amp;基础参数'!$E$17,'模板使用说明&amp;基础参数'!$E$24),IF(H304="EO",IF($C$1="预估功能点",'模板使用说明&amp;基础参数'!$E$18,'模板使用说明&amp;基础参数'!$E$25),IF(H304="EQ",IF($C$1="预估功能点",'模板使用说明&amp;基础参数'!$E$19,'模板使用说明&amp;基础参数'!$E$26),"")))))</f>
        <v>4</v>
      </c>
      <c r="J304" s="97" t="s">
        <v>38</v>
      </c>
      <c r="K304" s="97" t="s">
        <v>78</v>
      </c>
      <c r="L304" s="98">
        <f>IF(I304="","",IF(J304="高",IF(K304="删除",I304*'模板使用说明&amp;基础参数'!$E$5*'模板使用说明&amp;基础参数'!$E$12,IF(K304="修改",I304*'模板使用说明&amp;基础参数'!$E$5*'模板使用说明&amp;基础参数'!$E$11,I304*'模板使用说明&amp;基础参数'!$E$5*'模板使用说明&amp;基础参数'!$E$10)),IF(J304="中",IF(K304="删除",I304*'模板使用说明&amp;基础参数'!$E$6*'模板使用说明&amp;基础参数'!$E$12,IF(K304="修改",I304*'模板使用说明&amp;基础参数'!$E$6*'模板使用说明&amp;基础参数'!$E$11,I304*'模板使用说明&amp;基础参数'!$E$6*'模板使用说明&amp;基础参数'!$E$10)),IF(K304="删除",I304*'模板使用说明&amp;基础参数'!$E$7*'模板使用说明&amp;基础参数'!$E$12,IF(K304="修改",I304*'模板使用说明&amp;基础参数'!$E$7*'模板使用说明&amp;基础参数'!$E$11,I304*'模板使用说明&amp;基础参数'!$E$7*'模板使用说明&amp;基础参数'!$E$10)))))</f>
        <v>1.06666666666667</v>
      </c>
      <c r="M304" s="95"/>
      <c r="N304" s="99"/>
      <c r="O304" s="100"/>
    </row>
    <row r="305" s="70" customFormat="1" ht="25" customHeight="1" spans="1:15">
      <c r="A305" s="93">
        <v>300</v>
      </c>
      <c r="B305" s="94" t="s">
        <v>72</v>
      </c>
      <c r="C305" s="95" t="s">
        <v>73</v>
      </c>
      <c r="D305" s="95" t="s">
        <v>74</v>
      </c>
      <c r="E305" s="95" t="s">
        <v>74</v>
      </c>
      <c r="F305" s="95" t="s">
        <v>688</v>
      </c>
      <c r="G305" s="95" t="s">
        <v>689</v>
      </c>
      <c r="H305" s="93" t="s">
        <v>84</v>
      </c>
      <c r="I305" s="96">
        <f>IF(H305="ILF",IF($C$1="预估功能点",'模板使用说明&amp;基础参数'!$E$15,7),IF(H305="EIF",IF($C$1="预估功能点",'模板使用说明&amp;基础参数'!$E$16,5),IF(H305="EI",IF($C$1="预估功能点",'模板使用说明&amp;基础参数'!$E$17,'模板使用说明&amp;基础参数'!$E$24),IF(H305="EO",IF($C$1="预估功能点",'模板使用说明&amp;基础参数'!$E$18,'模板使用说明&amp;基础参数'!$E$25),IF(H305="EQ",IF($C$1="预估功能点",'模板使用说明&amp;基础参数'!$E$19,'模板使用说明&amp;基础参数'!$E$26),"")))))</f>
        <v>4</v>
      </c>
      <c r="J305" s="97" t="s">
        <v>38</v>
      </c>
      <c r="K305" s="97" t="s">
        <v>78</v>
      </c>
      <c r="L305" s="98">
        <f>IF(I305="","",IF(J305="高",IF(K305="删除",I305*'模板使用说明&amp;基础参数'!$E$5*'模板使用说明&amp;基础参数'!$E$12,IF(K305="修改",I305*'模板使用说明&amp;基础参数'!$E$5*'模板使用说明&amp;基础参数'!$E$11,I305*'模板使用说明&amp;基础参数'!$E$5*'模板使用说明&amp;基础参数'!$E$10)),IF(J305="中",IF(K305="删除",I305*'模板使用说明&amp;基础参数'!$E$6*'模板使用说明&amp;基础参数'!$E$12,IF(K305="修改",I305*'模板使用说明&amp;基础参数'!$E$6*'模板使用说明&amp;基础参数'!$E$11,I305*'模板使用说明&amp;基础参数'!$E$6*'模板使用说明&amp;基础参数'!$E$10)),IF(K305="删除",I305*'模板使用说明&amp;基础参数'!$E$7*'模板使用说明&amp;基础参数'!$E$12,IF(K305="修改",I305*'模板使用说明&amp;基础参数'!$E$7*'模板使用说明&amp;基础参数'!$E$11,I305*'模板使用说明&amp;基础参数'!$E$7*'模板使用说明&amp;基础参数'!$E$10)))))</f>
        <v>1.06666666666667</v>
      </c>
      <c r="M305" s="95"/>
      <c r="N305" s="99"/>
      <c r="O305" s="100"/>
    </row>
    <row r="306" s="70" customFormat="1" ht="25" customHeight="1" spans="1:15">
      <c r="A306" s="93">
        <v>301</v>
      </c>
      <c r="B306" s="94" t="s">
        <v>72</v>
      </c>
      <c r="C306" s="95" t="s">
        <v>129</v>
      </c>
      <c r="D306" s="95" t="s">
        <v>130</v>
      </c>
      <c r="E306" s="95" t="s">
        <v>130</v>
      </c>
      <c r="F306" s="95" t="s">
        <v>690</v>
      </c>
      <c r="G306" s="95" t="s">
        <v>691</v>
      </c>
      <c r="H306" s="93" t="s">
        <v>77</v>
      </c>
      <c r="I306" s="96">
        <f>IF(H306="ILF",IF($C$1="预估功能点",'模板使用说明&amp;基础参数'!$E$15,7),IF(H306="EIF",IF($C$1="预估功能点",'模板使用说明&amp;基础参数'!$E$16,5),IF(H306="EI",IF($C$1="预估功能点",'模板使用说明&amp;基础参数'!$E$17,'模板使用说明&amp;基础参数'!$E$24),IF(H306="EO",IF($C$1="预估功能点",'模板使用说明&amp;基础参数'!$E$18,'模板使用说明&amp;基础参数'!$E$25),IF(H306="EQ",IF($C$1="预估功能点",'模板使用说明&amp;基础参数'!$E$19,'模板使用说明&amp;基础参数'!$E$26),"")))))</f>
        <v>7</v>
      </c>
      <c r="J306" s="97" t="s">
        <v>38</v>
      </c>
      <c r="K306" s="97" t="s">
        <v>78</v>
      </c>
      <c r="L306" s="98">
        <f>IF(I306="","",IF(J306="高",IF(K306="删除",I306*'模板使用说明&amp;基础参数'!$E$5*'模板使用说明&amp;基础参数'!$E$12,IF(K306="修改",I306*'模板使用说明&amp;基础参数'!$E$5*'模板使用说明&amp;基础参数'!$E$11,I306*'模板使用说明&amp;基础参数'!$E$5*'模板使用说明&amp;基础参数'!$E$10)),IF(J306="中",IF(K306="删除",I306*'模板使用说明&amp;基础参数'!$E$6*'模板使用说明&amp;基础参数'!$E$12,IF(K306="修改",I306*'模板使用说明&amp;基础参数'!$E$6*'模板使用说明&amp;基础参数'!$E$11,I306*'模板使用说明&amp;基础参数'!$E$6*'模板使用说明&amp;基础参数'!$E$10)),IF(K306="删除",I306*'模板使用说明&amp;基础参数'!$E$7*'模板使用说明&amp;基础参数'!$E$12,IF(K306="修改",I306*'模板使用说明&amp;基础参数'!$E$7*'模板使用说明&amp;基础参数'!$E$11,I306*'模板使用说明&amp;基础参数'!$E$7*'模板使用说明&amp;基础参数'!$E$10)))))</f>
        <v>1.86666666666666</v>
      </c>
      <c r="M306" s="95"/>
      <c r="N306" s="99"/>
      <c r="O306" s="100"/>
    </row>
    <row r="307" s="70" customFormat="1" ht="25" customHeight="1" spans="1:15">
      <c r="A307" s="93">
        <v>302</v>
      </c>
      <c r="B307" s="94" t="s">
        <v>72</v>
      </c>
      <c r="C307" s="95" t="s">
        <v>129</v>
      </c>
      <c r="D307" s="95" t="s">
        <v>130</v>
      </c>
      <c r="E307" s="95" t="s">
        <v>130</v>
      </c>
      <c r="F307" s="95" t="s">
        <v>692</v>
      </c>
      <c r="G307" s="95" t="s">
        <v>693</v>
      </c>
      <c r="H307" s="93" t="s">
        <v>135</v>
      </c>
      <c r="I307" s="96">
        <f>IF(H307="ILF",IF($C$1="预估功能点",'模板使用说明&amp;基础参数'!$E$15,7),IF(H307="EIF",IF($C$1="预估功能点",'模板使用说明&amp;基础参数'!$E$16,5),IF(H307="EI",IF($C$1="预估功能点",'模板使用说明&amp;基础参数'!$E$17,'模板使用说明&amp;基础参数'!$E$24),IF(H307="EO",IF($C$1="预估功能点",'模板使用说明&amp;基础参数'!$E$18,'模板使用说明&amp;基础参数'!$E$25),IF(H307="EQ",IF($C$1="预估功能点",'模板使用说明&amp;基础参数'!$E$19,'模板使用说明&amp;基础参数'!$E$26),"")))))</f>
        <v>5</v>
      </c>
      <c r="J307" s="97" t="s">
        <v>38</v>
      </c>
      <c r="K307" s="97" t="s">
        <v>78</v>
      </c>
      <c r="L307" s="98">
        <f>IF(I307="","",IF(J307="高",IF(K307="删除",I307*'模板使用说明&amp;基础参数'!$E$5*'模板使用说明&amp;基础参数'!$E$12,IF(K307="修改",I307*'模板使用说明&amp;基础参数'!$E$5*'模板使用说明&amp;基础参数'!$E$11,I307*'模板使用说明&amp;基础参数'!$E$5*'模板使用说明&amp;基础参数'!$E$10)),IF(J307="中",IF(K307="删除",I307*'模板使用说明&amp;基础参数'!$E$6*'模板使用说明&amp;基础参数'!$E$12,IF(K307="修改",I307*'模板使用说明&amp;基础参数'!$E$6*'模板使用说明&amp;基础参数'!$E$11,I307*'模板使用说明&amp;基础参数'!$E$6*'模板使用说明&amp;基础参数'!$E$10)),IF(K307="删除",I307*'模板使用说明&amp;基础参数'!$E$7*'模板使用说明&amp;基础参数'!$E$12,IF(K307="修改",I307*'模板使用说明&amp;基础参数'!$E$7*'模板使用说明&amp;基础参数'!$E$11,I307*'模板使用说明&amp;基础参数'!$E$7*'模板使用说明&amp;基础参数'!$E$10)))))</f>
        <v>1.33333333333333</v>
      </c>
      <c r="M307" s="95"/>
      <c r="N307" s="99"/>
      <c r="O307" s="100"/>
    </row>
    <row r="308" s="70" customFormat="1" ht="25" customHeight="1" spans="1:15">
      <c r="A308" s="93">
        <v>303</v>
      </c>
      <c r="B308" s="94" t="s">
        <v>72</v>
      </c>
      <c r="C308" s="95" t="s">
        <v>129</v>
      </c>
      <c r="D308" s="95" t="s">
        <v>130</v>
      </c>
      <c r="E308" s="95" t="s">
        <v>130</v>
      </c>
      <c r="F308" s="95" t="s">
        <v>694</v>
      </c>
      <c r="G308" s="95" t="s">
        <v>695</v>
      </c>
      <c r="H308" s="93" t="s">
        <v>81</v>
      </c>
      <c r="I308" s="96">
        <f>IF(H308="ILF",IF($C$1="预估功能点",'模板使用说明&amp;基础参数'!$E$15,7),IF(H308="EIF",IF($C$1="预估功能点",'模板使用说明&amp;基础参数'!$E$16,5),IF(H308="EI",IF($C$1="预估功能点",'模板使用说明&amp;基础参数'!$E$17,'模板使用说明&amp;基础参数'!$E$24),IF(H308="EO",IF($C$1="预估功能点",'模板使用说明&amp;基础参数'!$E$18,'模板使用说明&amp;基础参数'!$E$25),IF(H308="EQ",IF($C$1="预估功能点",'模板使用说明&amp;基础参数'!$E$19,'模板使用说明&amp;基础参数'!$E$26),"")))))</f>
        <v>4</v>
      </c>
      <c r="J308" s="97" t="s">
        <v>38</v>
      </c>
      <c r="K308" s="97" t="s">
        <v>78</v>
      </c>
      <c r="L308" s="98">
        <f>IF(I308="","",IF(J308="高",IF(K308="删除",I308*'模板使用说明&amp;基础参数'!$E$5*'模板使用说明&amp;基础参数'!$E$12,IF(K308="修改",I308*'模板使用说明&amp;基础参数'!$E$5*'模板使用说明&amp;基础参数'!$E$11,I308*'模板使用说明&amp;基础参数'!$E$5*'模板使用说明&amp;基础参数'!$E$10)),IF(J308="中",IF(K308="删除",I308*'模板使用说明&amp;基础参数'!$E$6*'模板使用说明&amp;基础参数'!$E$12,IF(K308="修改",I308*'模板使用说明&amp;基础参数'!$E$6*'模板使用说明&amp;基础参数'!$E$11,I308*'模板使用说明&amp;基础参数'!$E$6*'模板使用说明&amp;基础参数'!$E$10)),IF(K308="删除",I308*'模板使用说明&amp;基础参数'!$E$7*'模板使用说明&amp;基础参数'!$E$12,IF(K308="修改",I308*'模板使用说明&amp;基础参数'!$E$7*'模板使用说明&amp;基础参数'!$E$11,I308*'模板使用说明&amp;基础参数'!$E$7*'模板使用说明&amp;基础参数'!$E$10)))))</f>
        <v>1.06666666666667</v>
      </c>
      <c r="M308" s="95"/>
      <c r="N308" s="99"/>
      <c r="O308" s="100"/>
    </row>
    <row r="309" s="70" customFormat="1" ht="25" customHeight="1" spans="1:15">
      <c r="A309" s="93">
        <v>304</v>
      </c>
      <c r="B309" s="94" t="s">
        <v>72</v>
      </c>
      <c r="C309" s="95" t="s">
        <v>129</v>
      </c>
      <c r="D309" s="95" t="s">
        <v>130</v>
      </c>
      <c r="E309" s="95" t="s">
        <v>130</v>
      </c>
      <c r="F309" s="95" t="s">
        <v>696</v>
      </c>
      <c r="G309" s="95" t="s">
        <v>697</v>
      </c>
      <c r="H309" s="93" t="s">
        <v>84</v>
      </c>
      <c r="I309" s="96">
        <f>IF(H309="ILF",IF($C$1="预估功能点",'模板使用说明&amp;基础参数'!$E$15,7),IF(H309="EIF",IF($C$1="预估功能点",'模板使用说明&amp;基础参数'!$E$16,5),IF(H309="EI",IF($C$1="预估功能点",'模板使用说明&amp;基础参数'!$E$17,'模板使用说明&amp;基础参数'!$E$24),IF(H309="EO",IF($C$1="预估功能点",'模板使用说明&amp;基础参数'!$E$18,'模板使用说明&amp;基础参数'!$E$25),IF(H309="EQ",IF($C$1="预估功能点",'模板使用说明&amp;基础参数'!$E$19,'模板使用说明&amp;基础参数'!$E$26),"")))))</f>
        <v>4</v>
      </c>
      <c r="J309" s="97" t="s">
        <v>38</v>
      </c>
      <c r="K309" s="97" t="s">
        <v>78</v>
      </c>
      <c r="L309" s="98">
        <f>IF(I309="","",IF(J309="高",IF(K309="删除",I309*'模板使用说明&amp;基础参数'!$E$5*'模板使用说明&amp;基础参数'!$E$12,IF(K309="修改",I309*'模板使用说明&amp;基础参数'!$E$5*'模板使用说明&amp;基础参数'!$E$11,I309*'模板使用说明&amp;基础参数'!$E$5*'模板使用说明&amp;基础参数'!$E$10)),IF(J309="中",IF(K309="删除",I309*'模板使用说明&amp;基础参数'!$E$6*'模板使用说明&amp;基础参数'!$E$12,IF(K309="修改",I309*'模板使用说明&amp;基础参数'!$E$6*'模板使用说明&amp;基础参数'!$E$11,I309*'模板使用说明&amp;基础参数'!$E$6*'模板使用说明&amp;基础参数'!$E$10)),IF(K309="删除",I309*'模板使用说明&amp;基础参数'!$E$7*'模板使用说明&amp;基础参数'!$E$12,IF(K309="修改",I309*'模板使用说明&amp;基础参数'!$E$7*'模板使用说明&amp;基础参数'!$E$11,I309*'模板使用说明&amp;基础参数'!$E$7*'模板使用说明&amp;基础参数'!$E$10)))))</f>
        <v>1.06666666666667</v>
      </c>
      <c r="M309" s="95"/>
      <c r="N309" s="99"/>
      <c r="O309" s="100"/>
    </row>
    <row r="310" s="70" customFormat="1" ht="25" customHeight="1" spans="1:15">
      <c r="A310" s="93">
        <v>305</v>
      </c>
      <c r="B310" s="94" t="s">
        <v>72</v>
      </c>
      <c r="C310" s="95" t="s">
        <v>129</v>
      </c>
      <c r="D310" s="95" t="s">
        <v>130</v>
      </c>
      <c r="E310" s="95" t="s">
        <v>130</v>
      </c>
      <c r="F310" s="95" t="s">
        <v>698</v>
      </c>
      <c r="G310" s="95" t="s">
        <v>699</v>
      </c>
      <c r="H310" s="93" t="s">
        <v>84</v>
      </c>
      <c r="I310" s="96">
        <f>IF(H310="ILF",IF($C$1="预估功能点",'模板使用说明&amp;基础参数'!$E$15,7),IF(H310="EIF",IF($C$1="预估功能点",'模板使用说明&amp;基础参数'!$E$16,5),IF(H310="EI",IF($C$1="预估功能点",'模板使用说明&amp;基础参数'!$E$17,'模板使用说明&amp;基础参数'!$E$24),IF(H310="EO",IF($C$1="预估功能点",'模板使用说明&amp;基础参数'!$E$18,'模板使用说明&amp;基础参数'!$E$25),IF(H310="EQ",IF($C$1="预估功能点",'模板使用说明&amp;基础参数'!$E$19,'模板使用说明&amp;基础参数'!$E$26),"")))))</f>
        <v>4</v>
      </c>
      <c r="J310" s="97" t="s">
        <v>38</v>
      </c>
      <c r="K310" s="97" t="s">
        <v>78</v>
      </c>
      <c r="L310" s="98">
        <f>IF(I310="","",IF(J310="高",IF(K310="删除",I310*'模板使用说明&amp;基础参数'!$E$5*'模板使用说明&amp;基础参数'!$E$12,IF(K310="修改",I310*'模板使用说明&amp;基础参数'!$E$5*'模板使用说明&amp;基础参数'!$E$11,I310*'模板使用说明&amp;基础参数'!$E$5*'模板使用说明&amp;基础参数'!$E$10)),IF(J310="中",IF(K310="删除",I310*'模板使用说明&amp;基础参数'!$E$6*'模板使用说明&amp;基础参数'!$E$12,IF(K310="修改",I310*'模板使用说明&amp;基础参数'!$E$6*'模板使用说明&amp;基础参数'!$E$11,I310*'模板使用说明&amp;基础参数'!$E$6*'模板使用说明&amp;基础参数'!$E$10)),IF(K310="删除",I310*'模板使用说明&amp;基础参数'!$E$7*'模板使用说明&amp;基础参数'!$E$12,IF(K310="修改",I310*'模板使用说明&amp;基础参数'!$E$7*'模板使用说明&amp;基础参数'!$E$11,I310*'模板使用说明&amp;基础参数'!$E$7*'模板使用说明&amp;基础参数'!$E$10)))))</f>
        <v>1.06666666666667</v>
      </c>
      <c r="M310" s="95"/>
      <c r="N310" s="99"/>
      <c r="O310" s="100"/>
    </row>
    <row r="311" s="70" customFormat="1" ht="25" customHeight="1" spans="1:15">
      <c r="A311" s="93">
        <v>306</v>
      </c>
      <c r="B311" s="94" t="s">
        <v>72</v>
      </c>
      <c r="C311" s="95" t="s">
        <v>129</v>
      </c>
      <c r="D311" s="95" t="s">
        <v>130</v>
      </c>
      <c r="E311" s="95" t="s">
        <v>130</v>
      </c>
      <c r="F311" s="95" t="s">
        <v>700</v>
      </c>
      <c r="G311" s="95" t="s">
        <v>701</v>
      </c>
      <c r="H311" s="93" t="s">
        <v>84</v>
      </c>
      <c r="I311" s="96">
        <f>IF(H311="ILF",IF($C$1="预估功能点",'模板使用说明&amp;基础参数'!$E$15,7),IF(H311="EIF",IF($C$1="预估功能点",'模板使用说明&amp;基础参数'!$E$16,5),IF(H311="EI",IF($C$1="预估功能点",'模板使用说明&amp;基础参数'!$E$17,'模板使用说明&amp;基础参数'!$E$24),IF(H311="EO",IF($C$1="预估功能点",'模板使用说明&amp;基础参数'!$E$18,'模板使用说明&amp;基础参数'!$E$25),IF(H311="EQ",IF($C$1="预估功能点",'模板使用说明&amp;基础参数'!$E$19,'模板使用说明&amp;基础参数'!$E$26),"")))))</f>
        <v>4</v>
      </c>
      <c r="J311" s="97" t="s">
        <v>38</v>
      </c>
      <c r="K311" s="97" t="s">
        <v>78</v>
      </c>
      <c r="L311" s="98">
        <f>IF(I311="","",IF(J311="高",IF(K311="删除",I311*'模板使用说明&amp;基础参数'!$E$5*'模板使用说明&amp;基础参数'!$E$12,IF(K311="修改",I311*'模板使用说明&amp;基础参数'!$E$5*'模板使用说明&amp;基础参数'!$E$11,I311*'模板使用说明&amp;基础参数'!$E$5*'模板使用说明&amp;基础参数'!$E$10)),IF(J311="中",IF(K311="删除",I311*'模板使用说明&amp;基础参数'!$E$6*'模板使用说明&amp;基础参数'!$E$12,IF(K311="修改",I311*'模板使用说明&amp;基础参数'!$E$6*'模板使用说明&amp;基础参数'!$E$11,I311*'模板使用说明&amp;基础参数'!$E$6*'模板使用说明&amp;基础参数'!$E$10)),IF(K311="删除",I311*'模板使用说明&amp;基础参数'!$E$7*'模板使用说明&amp;基础参数'!$E$12,IF(K311="修改",I311*'模板使用说明&amp;基础参数'!$E$7*'模板使用说明&amp;基础参数'!$E$11,I311*'模板使用说明&amp;基础参数'!$E$7*'模板使用说明&amp;基础参数'!$E$10)))))</f>
        <v>1.06666666666667</v>
      </c>
      <c r="M311" s="95"/>
      <c r="N311" s="99"/>
      <c r="O311" s="100"/>
    </row>
    <row r="312" s="70" customFormat="1" ht="25" customHeight="1" spans="1:15">
      <c r="A312" s="93">
        <v>307</v>
      </c>
      <c r="B312" s="94" t="s">
        <v>72</v>
      </c>
      <c r="C312" s="95" t="s">
        <v>144</v>
      </c>
      <c r="D312" s="95" t="s">
        <v>145</v>
      </c>
      <c r="E312" s="95" t="s">
        <v>145</v>
      </c>
      <c r="F312" s="95" t="s">
        <v>702</v>
      </c>
      <c r="G312" s="95" t="s">
        <v>703</v>
      </c>
      <c r="H312" s="93" t="s">
        <v>77</v>
      </c>
      <c r="I312" s="96">
        <f>IF(H312="ILF",IF($C$1="预估功能点",'模板使用说明&amp;基础参数'!$E$15,7),IF(H312="EIF",IF($C$1="预估功能点",'模板使用说明&amp;基础参数'!$E$16,5),IF(H312="EI",IF($C$1="预估功能点",'模板使用说明&amp;基础参数'!$E$17,'模板使用说明&amp;基础参数'!$E$24),IF(H312="EO",IF($C$1="预估功能点",'模板使用说明&amp;基础参数'!$E$18,'模板使用说明&amp;基础参数'!$E$25),IF(H312="EQ",IF($C$1="预估功能点",'模板使用说明&amp;基础参数'!$E$19,'模板使用说明&amp;基础参数'!$E$26),"")))))</f>
        <v>7</v>
      </c>
      <c r="J312" s="97" t="s">
        <v>38</v>
      </c>
      <c r="K312" s="97" t="s">
        <v>78</v>
      </c>
      <c r="L312" s="98">
        <f>IF(I312="","",IF(J312="高",IF(K312="删除",I312*'模板使用说明&amp;基础参数'!$E$5*'模板使用说明&amp;基础参数'!$E$12,IF(K312="修改",I312*'模板使用说明&amp;基础参数'!$E$5*'模板使用说明&amp;基础参数'!$E$11,I312*'模板使用说明&amp;基础参数'!$E$5*'模板使用说明&amp;基础参数'!$E$10)),IF(J312="中",IF(K312="删除",I312*'模板使用说明&amp;基础参数'!$E$6*'模板使用说明&amp;基础参数'!$E$12,IF(K312="修改",I312*'模板使用说明&amp;基础参数'!$E$6*'模板使用说明&amp;基础参数'!$E$11,I312*'模板使用说明&amp;基础参数'!$E$6*'模板使用说明&amp;基础参数'!$E$10)),IF(K312="删除",I312*'模板使用说明&amp;基础参数'!$E$7*'模板使用说明&amp;基础参数'!$E$12,IF(K312="修改",I312*'模板使用说明&amp;基础参数'!$E$7*'模板使用说明&amp;基础参数'!$E$11,I312*'模板使用说明&amp;基础参数'!$E$7*'模板使用说明&amp;基础参数'!$E$10)))))</f>
        <v>1.86666666666666</v>
      </c>
      <c r="M312" s="95"/>
      <c r="N312" s="99"/>
      <c r="O312" s="100"/>
    </row>
    <row r="313" s="70" customFormat="1" ht="25" customHeight="1" spans="1:15">
      <c r="A313" s="93">
        <v>308</v>
      </c>
      <c r="B313" s="94" t="s">
        <v>72</v>
      </c>
      <c r="C313" s="95" t="s">
        <v>144</v>
      </c>
      <c r="D313" s="95" t="s">
        <v>145</v>
      </c>
      <c r="E313" s="95" t="s">
        <v>145</v>
      </c>
      <c r="F313" s="95" t="s">
        <v>704</v>
      </c>
      <c r="G313" s="95" t="s">
        <v>705</v>
      </c>
      <c r="H313" s="93" t="s">
        <v>81</v>
      </c>
      <c r="I313" s="96">
        <f>IF(H313="ILF",IF($C$1="预估功能点",'模板使用说明&amp;基础参数'!$E$15,7),IF(H313="EIF",IF($C$1="预估功能点",'模板使用说明&amp;基础参数'!$E$16,5),IF(H313="EI",IF($C$1="预估功能点",'模板使用说明&amp;基础参数'!$E$17,'模板使用说明&amp;基础参数'!$E$24),IF(H313="EO",IF($C$1="预估功能点",'模板使用说明&amp;基础参数'!$E$18,'模板使用说明&amp;基础参数'!$E$25),IF(H313="EQ",IF($C$1="预估功能点",'模板使用说明&amp;基础参数'!$E$19,'模板使用说明&amp;基础参数'!$E$26),"")))))</f>
        <v>4</v>
      </c>
      <c r="J313" s="97" t="s">
        <v>38</v>
      </c>
      <c r="K313" s="97" t="s">
        <v>78</v>
      </c>
      <c r="L313" s="98">
        <f>IF(I313="","",IF(J313="高",IF(K313="删除",I313*'模板使用说明&amp;基础参数'!$E$5*'模板使用说明&amp;基础参数'!$E$12,IF(K313="修改",I313*'模板使用说明&amp;基础参数'!$E$5*'模板使用说明&amp;基础参数'!$E$11,I313*'模板使用说明&amp;基础参数'!$E$5*'模板使用说明&amp;基础参数'!$E$10)),IF(J313="中",IF(K313="删除",I313*'模板使用说明&amp;基础参数'!$E$6*'模板使用说明&amp;基础参数'!$E$12,IF(K313="修改",I313*'模板使用说明&amp;基础参数'!$E$6*'模板使用说明&amp;基础参数'!$E$11,I313*'模板使用说明&amp;基础参数'!$E$6*'模板使用说明&amp;基础参数'!$E$10)),IF(K313="删除",I313*'模板使用说明&amp;基础参数'!$E$7*'模板使用说明&amp;基础参数'!$E$12,IF(K313="修改",I313*'模板使用说明&amp;基础参数'!$E$7*'模板使用说明&amp;基础参数'!$E$11,I313*'模板使用说明&amp;基础参数'!$E$7*'模板使用说明&amp;基础参数'!$E$10)))))</f>
        <v>1.06666666666667</v>
      </c>
      <c r="M313" s="95"/>
      <c r="N313" s="99"/>
      <c r="O313" s="100"/>
    </row>
    <row r="314" s="70" customFormat="1" ht="25" customHeight="1" spans="1:15">
      <c r="A314" s="93">
        <v>309</v>
      </c>
      <c r="B314" s="94" t="s">
        <v>72</v>
      </c>
      <c r="C314" s="95" t="s">
        <v>144</v>
      </c>
      <c r="D314" s="95" t="s">
        <v>145</v>
      </c>
      <c r="E314" s="95" t="s">
        <v>145</v>
      </c>
      <c r="F314" s="95" t="s">
        <v>706</v>
      </c>
      <c r="G314" s="95" t="s">
        <v>707</v>
      </c>
      <c r="H314" s="93" t="s">
        <v>84</v>
      </c>
      <c r="I314" s="96">
        <f>IF(H314="ILF",IF($C$1="预估功能点",'模板使用说明&amp;基础参数'!$E$15,7),IF(H314="EIF",IF($C$1="预估功能点",'模板使用说明&amp;基础参数'!$E$16,5),IF(H314="EI",IF($C$1="预估功能点",'模板使用说明&amp;基础参数'!$E$17,'模板使用说明&amp;基础参数'!$E$24),IF(H314="EO",IF($C$1="预估功能点",'模板使用说明&amp;基础参数'!$E$18,'模板使用说明&amp;基础参数'!$E$25),IF(H314="EQ",IF($C$1="预估功能点",'模板使用说明&amp;基础参数'!$E$19,'模板使用说明&amp;基础参数'!$E$26),"")))))</f>
        <v>4</v>
      </c>
      <c r="J314" s="97" t="s">
        <v>38</v>
      </c>
      <c r="K314" s="97" t="s">
        <v>78</v>
      </c>
      <c r="L314" s="98">
        <f>IF(I314="","",IF(J314="高",IF(K314="删除",I314*'模板使用说明&amp;基础参数'!$E$5*'模板使用说明&amp;基础参数'!$E$12,IF(K314="修改",I314*'模板使用说明&amp;基础参数'!$E$5*'模板使用说明&amp;基础参数'!$E$11,I314*'模板使用说明&amp;基础参数'!$E$5*'模板使用说明&amp;基础参数'!$E$10)),IF(J314="中",IF(K314="删除",I314*'模板使用说明&amp;基础参数'!$E$6*'模板使用说明&amp;基础参数'!$E$12,IF(K314="修改",I314*'模板使用说明&amp;基础参数'!$E$6*'模板使用说明&amp;基础参数'!$E$11,I314*'模板使用说明&amp;基础参数'!$E$6*'模板使用说明&amp;基础参数'!$E$10)),IF(K314="删除",I314*'模板使用说明&amp;基础参数'!$E$7*'模板使用说明&amp;基础参数'!$E$12,IF(K314="修改",I314*'模板使用说明&amp;基础参数'!$E$7*'模板使用说明&amp;基础参数'!$E$11,I314*'模板使用说明&amp;基础参数'!$E$7*'模板使用说明&amp;基础参数'!$E$10)))))</f>
        <v>1.06666666666667</v>
      </c>
      <c r="M314" s="95"/>
      <c r="N314" s="99"/>
      <c r="O314" s="100"/>
    </row>
    <row r="315" s="70" customFormat="1" ht="25" customHeight="1" spans="1:15">
      <c r="A315" s="93">
        <v>310</v>
      </c>
      <c r="B315" s="94" t="s">
        <v>72</v>
      </c>
      <c r="C315" s="95" t="s">
        <v>144</v>
      </c>
      <c r="D315" s="95" t="s">
        <v>145</v>
      </c>
      <c r="E315" s="95" t="s">
        <v>145</v>
      </c>
      <c r="F315" s="95" t="s">
        <v>708</v>
      </c>
      <c r="G315" s="95" t="s">
        <v>709</v>
      </c>
      <c r="H315" s="93" t="s">
        <v>84</v>
      </c>
      <c r="I315" s="96">
        <f>IF(H315="ILF",IF($C$1="预估功能点",'模板使用说明&amp;基础参数'!$E$15,7),IF(H315="EIF",IF($C$1="预估功能点",'模板使用说明&amp;基础参数'!$E$16,5),IF(H315="EI",IF($C$1="预估功能点",'模板使用说明&amp;基础参数'!$E$17,'模板使用说明&amp;基础参数'!$E$24),IF(H315="EO",IF($C$1="预估功能点",'模板使用说明&amp;基础参数'!$E$18,'模板使用说明&amp;基础参数'!$E$25),IF(H315="EQ",IF($C$1="预估功能点",'模板使用说明&amp;基础参数'!$E$19,'模板使用说明&amp;基础参数'!$E$26),"")))))</f>
        <v>4</v>
      </c>
      <c r="J315" s="97" t="s">
        <v>38</v>
      </c>
      <c r="K315" s="97" t="s">
        <v>78</v>
      </c>
      <c r="L315" s="98">
        <f>IF(I315="","",IF(J315="高",IF(K315="删除",I315*'模板使用说明&amp;基础参数'!$E$5*'模板使用说明&amp;基础参数'!$E$12,IF(K315="修改",I315*'模板使用说明&amp;基础参数'!$E$5*'模板使用说明&amp;基础参数'!$E$11,I315*'模板使用说明&amp;基础参数'!$E$5*'模板使用说明&amp;基础参数'!$E$10)),IF(J315="中",IF(K315="删除",I315*'模板使用说明&amp;基础参数'!$E$6*'模板使用说明&amp;基础参数'!$E$12,IF(K315="修改",I315*'模板使用说明&amp;基础参数'!$E$6*'模板使用说明&amp;基础参数'!$E$11,I315*'模板使用说明&amp;基础参数'!$E$6*'模板使用说明&amp;基础参数'!$E$10)),IF(K315="删除",I315*'模板使用说明&amp;基础参数'!$E$7*'模板使用说明&amp;基础参数'!$E$12,IF(K315="修改",I315*'模板使用说明&amp;基础参数'!$E$7*'模板使用说明&amp;基础参数'!$E$11,I315*'模板使用说明&amp;基础参数'!$E$7*'模板使用说明&amp;基础参数'!$E$10)))))</f>
        <v>1.06666666666667</v>
      </c>
      <c r="M315" s="95"/>
      <c r="N315" s="99"/>
      <c r="O315" s="100"/>
    </row>
    <row r="316" s="70" customFormat="1" ht="25" customHeight="1" spans="1:15">
      <c r="A316" s="93">
        <v>311</v>
      </c>
      <c r="B316" s="94" t="s">
        <v>72</v>
      </c>
      <c r="C316" s="95" t="s">
        <v>154</v>
      </c>
      <c r="D316" s="95" t="s">
        <v>155</v>
      </c>
      <c r="E316" s="95" t="s">
        <v>155</v>
      </c>
      <c r="F316" s="95" t="s">
        <v>710</v>
      </c>
      <c r="G316" s="95" t="s">
        <v>711</v>
      </c>
      <c r="H316" s="93" t="s">
        <v>77</v>
      </c>
      <c r="I316" s="96">
        <f>IF(H316="ILF",IF($C$1="预估功能点",'模板使用说明&amp;基础参数'!$E$15,7),IF(H316="EIF",IF($C$1="预估功能点",'模板使用说明&amp;基础参数'!$E$16,5),IF(H316="EI",IF($C$1="预估功能点",'模板使用说明&amp;基础参数'!$E$17,'模板使用说明&amp;基础参数'!$E$24),IF(H316="EO",IF($C$1="预估功能点",'模板使用说明&amp;基础参数'!$E$18,'模板使用说明&amp;基础参数'!$E$25),IF(H316="EQ",IF($C$1="预估功能点",'模板使用说明&amp;基础参数'!$E$19,'模板使用说明&amp;基础参数'!$E$26),"")))))</f>
        <v>7</v>
      </c>
      <c r="J316" s="97" t="s">
        <v>38</v>
      </c>
      <c r="K316" s="97" t="s">
        <v>78</v>
      </c>
      <c r="L316" s="98">
        <f>IF(I316="","",IF(J316="高",IF(K316="删除",I316*'模板使用说明&amp;基础参数'!$E$5*'模板使用说明&amp;基础参数'!$E$12,IF(K316="修改",I316*'模板使用说明&amp;基础参数'!$E$5*'模板使用说明&amp;基础参数'!$E$11,I316*'模板使用说明&amp;基础参数'!$E$5*'模板使用说明&amp;基础参数'!$E$10)),IF(J316="中",IF(K316="删除",I316*'模板使用说明&amp;基础参数'!$E$6*'模板使用说明&amp;基础参数'!$E$12,IF(K316="修改",I316*'模板使用说明&amp;基础参数'!$E$6*'模板使用说明&amp;基础参数'!$E$11,I316*'模板使用说明&amp;基础参数'!$E$6*'模板使用说明&amp;基础参数'!$E$10)),IF(K316="删除",I316*'模板使用说明&amp;基础参数'!$E$7*'模板使用说明&amp;基础参数'!$E$12,IF(K316="修改",I316*'模板使用说明&amp;基础参数'!$E$7*'模板使用说明&amp;基础参数'!$E$11,I316*'模板使用说明&amp;基础参数'!$E$7*'模板使用说明&amp;基础参数'!$E$10)))))</f>
        <v>1.86666666666666</v>
      </c>
      <c r="M316" s="95"/>
      <c r="N316" s="99"/>
      <c r="O316" s="100"/>
    </row>
    <row r="317" s="70" customFormat="1" ht="25" customHeight="1" spans="1:15">
      <c r="A317" s="93">
        <v>312</v>
      </c>
      <c r="B317" s="94" t="s">
        <v>72</v>
      </c>
      <c r="C317" s="95" t="s">
        <v>154</v>
      </c>
      <c r="D317" s="95" t="s">
        <v>155</v>
      </c>
      <c r="E317" s="95" t="s">
        <v>155</v>
      </c>
      <c r="F317" s="95" t="s">
        <v>712</v>
      </c>
      <c r="G317" s="95" t="s">
        <v>713</v>
      </c>
      <c r="H317" s="93" t="s">
        <v>81</v>
      </c>
      <c r="I317" s="96">
        <f>IF(H317="ILF",IF($C$1="预估功能点",'模板使用说明&amp;基础参数'!$E$15,7),IF(H317="EIF",IF($C$1="预估功能点",'模板使用说明&amp;基础参数'!$E$16,5),IF(H317="EI",IF($C$1="预估功能点",'模板使用说明&amp;基础参数'!$E$17,'模板使用说明&amp;基础参数'!$E$24),IF(H317="EO",IF($C$1="预估功能点",'模板使用说明&amp;基础参数'!$E$18,'模板使用说明&amp;基础参数'!$E$25),IF(H317="EQ",IF($C$1="预估功能点",'模板使用说明&amp;基础参数'!$E$19,'模板使用说明&amp;基础参数'!$E$26),"")))))</f>
        <v>4</v>
      </c>
      <c r="J317" s="97" t="s">
        <v>38</v>
      </c>
      <c r="K317" s="97" t="s">
        <v>78</v>
      </c>
      <c r="L317" s="98">
        <f>IF(I317="","",IF(J317="高",IF(K317="删除",I317*'模板使用说明&amp;基础参数'!$E$5*'模板使用说明&amp;基础参数'!$E$12,IF(K317="修改",I317*'模板使用说明&amp;基础参数'!$E$5*'模板使用说明&amp;基础参数'!$E$11,I317*'模板使用说明&amp;基础参数'!$E$5*'模板使用说明&amp;基础参数'!$E$10)),IF(J317="中",IF(K317="删除",I317*'模板使用说明&amp;基础参数'!$E$6*'模板使用说明&amp;基础参数'!$E$12,IF(K317="修改",I317*'模板使用说明&amp;基础参数'!$E$6*'模板使用说明&amp;基础参数'!$E$11,I317*'模板使用说明&amp;基础参数'!$E$6*'模板使用说明&amp;基础参数'!$E$10)),IF(K317="删除",I317*'模板使用说明&amp;基础参数'!$E$7*'模板使用说明&amp;基础参数'!$E$12,IF(K317="修改",I317*'模板使用说明&amp;基础参数'!$E$7*'模板使用说明&amp;基础参数'!$E$11,I317*'模板使用说明&amp;基础参数'!$E$7*'模板使用说明&amp;基础参数'!$E$10)))))</f>
        <v>1.06666666666667</v>
      </c>
      <c r="M317" s="95"/>
      <c r="N317" s="99"/>
      <c r="O317" s="100"/>
    </row>
    <row r="318" s="70" customFormat="1" ht="25" customHeight="1" spans="1:15">
      <c r="A318" s="93">
        <v>313</v>
      </c>
      <c r="B318" s="94" t="s">
        <v>72</v>
      </c>
      <c r="C318" s="95" t="s">
        <v>154</v>
      </c>
      <c r="D318" s="95" t="s">
        <v>155</v>
      </c>
      <c r="E318" s="95" t="s">
        <v>155</v>
      </c>
      <c r="F318" s="95" t="s">
        <v>714</v>
      </c>
      <c r="G318" s="95" t="s">
        <v>715</v>
      </c>
      <c r="H318" s="93" t="s">
        <v>84</v>
      </c>
      <c r="I318" s="96">
        <f>IF(H318="ILF",IF($C$1="预估功能点",'模板使用说明&amp;基础参数'!$E$15,7),IF(H318="EIF",IF($C$1="预估功能点",'模板使用说明&amp;基础参数'!$E$16,5),IF(H318="EI",IF($C$1="预估功能点",'模板使用说明&amp;基础参数'!$E$17,'模板使用说明&amp;基础参数'!$E$24),IF(H318="EO",IF($C$1="预估功能点",'模板使用说明&amp;基础参数'!$E$18,'模板使用说明&amp;基础参数'!$E$25),IF(H318="EQ",IF($C$1="预估功能点",'模板使用说明&amp;基础参数'!$E$19,'模板使用说明&amp;基础参数'!$E$26),"")))))</f>
        <v>4</v>
      </c>
      <c r="J318" s="97" t="s">
        <v>38</v>
      </c>
      <c r="K318" s="97" t="s">
        <v>78</v>
      </c>
      <c r="L318" s="98">
        <f>IF(I318="","",IF(J318="高",IF(K318="删除",I318*'模板使用说明&amp;基础参数'!$E$5*'模板使用说明&amp;基础参数'!$E$12,IF(K318="修改",I318*'模板使用说明&amp;基础参数'!$E$5*'模板使用说明&amp;基础参数'!$E$11,I318*'模板使用说明&amp;基础参数'!$E$5*'模板使用说明&amp;基础参数'!$E$10)),IF(J318="中",IF(K318="删除",I318*'模板使用说明&amp;基础参数'!$E$6*'模板使用说明&amp;基础参数'!$E$12,IF(K318="修改",I318*'模板使用说明&amp;基础参数'!$E$6*'模板使用说明&amp;基础参数'!$E$11,I318*'模板使用说明&amp;基础参数'!$E$6*'模板使用说明&amp;基础参数'!$E$10)),IF(K318="删除",I318*'模板使用说明&amp;基础参数'!$E$7*'模板使用说明&amp;基础参数'!$E$12,IF(K318="修改",I318*'模板使用说明&amp;基础参数'!$E$7*'模板使用说明&amp;基础参数'!$E$11,I318*'模板使用说明&amp;基础参数'!$E$7*'模板使用说明&amp;基础参数'!$E$10)))))</f>
        <v>1.06666666666667</v>
      </c>
      <c r="M318" s="95"/>
      <c r="N318" s="99"/>
      <c r="O318" s="100"/>
    </row>
    <row r="319" s="70" customFormat="1" ht="25" customHeight="1" spans="1:15">
      <c r="A319" s="93">
        <v>314</v>
      </c>
      <c r="B319" s="94" t="s">
        <v>72</v>
      </c>
      <c r="C319" s="95" t="s">
        <v>154</v>
      </c>
      <c r="D319" s="95" t="s">
        <v>155</v>
      </c>
      <c r="E319" s="95" t="s">
        <v>155</v>
      </c>
      <c r="F319" s="95" t="s">
        <v>716</v>
      </c>
      <c r="G319" s="95" t="s">
        <v>717</v>
      </c>
      <c r="H319" s="93" t="s">
        <v>84</v>
      </c>
      <c r="I319" s="96">
        <f>IF(H319="ILF",IF($C$1="预估功能点",'模板使用说明&amp;基础参数'!$E$15,7),IF(H319="EIF",IF($C$1="预估功能点",'模板使用说明&amp;基础参数'!$E$16,5),IF(H319="EI",IF($C$1="预估功能点",'模板使用说明&amp;基础参数'!$E$17,'模板使用说明&amp;基础参数'!$E$24),IF(H319="EO",IF($C$1="预估功能点",'模板使用说明&amp;基础参数'!$E$18,'模板使用说明&amp;基础参数'!$E$25),IF(H319="EQ",IF($C$1="预估功能点",'模板使用说明&amp;基础参数'!$E$19,'模板使用说明&amp;基础参数'!$E$26),"")))))</f>
        <v>4</v>
      </c>
      <c r="J319" s="97" t="s">
        <v>38</v>
      </c>
      <c r="K319" s="97" t="s">
        <v>78</v>
      </c>
      <c r="L319" s="98">
        <f>IF(I319="","",IF(J319="高",IF(K319="删除",I319*'模板使用说明&amp;基础参数'!$E$5*'模板使用说明&amp;基础参数'!$E$12,IF(K319="修改",I319*'模板使用说明&amp;基础参数'!$E$5*'模板使用说明&amp;基础参数'!$E$11,I319*'模板使用说明&amp;基础参数'!$E$5*'模板使用说明&amp;基础参数'!$E$10)),IF(J319="中",IF(K319="删除",I319*'模板使用说明&amp;基础参数'!$E$6*'模板使用说明&amp;基础参数'!$E$12,IF(K319="修改",I319*'模板使用说明&amp;基础参数'!$E$6*'模板使用说明&amp;基础参数'!$E$11,I319*'模板使用说明&amp;基础参数'!$E$6*'模板使用说明&amp;基础参数'!$E$10)),IF(K319="删除",I319*'模板使用说明&amp;基础参数'!$E$7*'模板使用说明&amp;基础参数'!$E$12,IF(K319="修改",I319*'模板使用说明&amp;基础参数'!$E$7*'模板使用说明&amp;基础参数'!$E$11,I319*'模板使用说明&amp;基础参数'!$E$7*'模板使用说明&amp;基础参数'!$E$10)))))</f>
        <v>1.06666666666667</v>
      </c>
      <c r="M319" s="95"/>
      <c r="N319" s="99"/>
      <c r="O319" s="100"/>
    </row>
    <row r="320" s="70" customFormat="1" ht="25" customHeight="1" spans="1:15">
      <c r="A320" s="93">
        <v>315</v>
      </c>
      <c r="B320" s="94" t="s">
        <v>72</v>
      </c>
      <c r="C320" s="95" t="s">
        <v>154</v>
      </c>
      <c r="D320" s="95" t="s">
        <v>155</v>
      </c>
      <c r="E320" s="95" t="s">
        <v>155</v>
      </c>
      <c r="F320" s="95" t="s">
        <v>718</v>
      </c>
      <c r="G320" s="95" t="s">
        <v>719</v>
      </c>
      <c r="H320" s="93" t="s">
        <v>84</v>
      </c>
      <c r="I320" s="96">
        <f>IF(H320="ILF",IF($C$1="预估功能点",'模板使用说明&amp;基础参数'!$E$15,7),IF(H320="EIF",IF($C$1="预估功能点",'模板使用说明&amp;基础参数'!$E$16,5),IF(H320="EI",IF($C$1="预估功能点",'模板使用说明&amp;基础参数'!$E$17,'模板使用说明&amp;基础参数'!$E$24),IF(H320="EO",IF($C$1="预估功能点",'模板使用说明&amp;基础参数'!$E$18,'模板使用说明&amp;基础参数'!$E$25),IF(H320="EQ",IF($C$1="预估功能点",'模板使用说明&amp;基础参数'!$E$19,'模板使用说明&amp;基础参数'!$E$26),"")))))</f>
        <v>4</v>
      </c>
      <c r="J320" s="97" t="s">
        <v>38</v>
      </c>
      <c r="K320" s="97" t="s">
        <v>78</v>
      </c>
      <c r="L320" s="98">
        <f>IF(I320="","",IF(J320="高",IF(K320="删除",I320*'模板使用说明&amp;基础参数'!$E$5*'模板使用说明&amp;基础参数'!$E$12,IF(K320="修改",I320*'模板使用说明&amp;基础参数'!$E$5*'模板使用说明&amp;基础参数'!$E$11,I320*'模板使用说明&amp;基础参数'!$E$5*'模板使用说明&amp;基础参数'!$E$10)),IF(J320="中",IF(K320="删除",I320*'模板使用说明&amp;基础参数'!$E$6*'模板使用说明&amp;基础参数'!$E$12,IF(K320="修改",I320*'模板使用说明&amp;基础参数'!$E$6*'模板使用说明&amp;基础参数'!$E$11,I320*'模板使用说明&amp;基础参数'!$E$6*'模板使用说明&amp;基础参数'!$E$10)),IF(K320="删除",I320*'模板使用说明&amp;基础参数'!$E$7*'模板使用说明&amp;基础参数'!$E$12,IF(K320="修改",I320*'模板使用说明&amp;基础参数'!$E$7*'模板使用说明&amp;基础参数'!$E$11,I320*'模板使用说明&amp;基础参数'!$E$7*'模板使用说明&amp;基础参数'!$E$10)))))</f>
        <v>1.06666666666667</v>
      </c>
      <c r="M320" s="95"/>
      <c r="N320" s="99"/>
      <c r="O320" s="100"/>
    </row>
    <row r="321" s="70" customFormat="1" ht="25" customHeight="1" spans="1:15">
      <c r="A321" s="93">
        <v>316</v>
      </c>
      <c r="B321" s="94" t="s">
        <v>72</v>
      </c>
      <c r="C321" s="95" t="s">
        <v>73</v>
      </c>
      <c r="D321" s="95" t="s">
        <v>74</v>
      </c>
      <c r="E321" s="95" t="s">
        <v>74</v>
      </c>
      <c r="F321" s="95" t="s">
        <v>720</v>
      </c>
      <c r="G321" s="95" t="s">
        <v>721</v>
      </c>
      <c r="H321" s="93" t="s">
        <v>77</v>
      </c>
      <c r="I321" s="96">
        <f>IF(H321="ILF",IF($C$1="预估功能点",'模板使用说明&amp;基础参数'!$E$15,7),IF(H321="EIF",IF($C$1="预估功能点",'模板使用说明&amp;基础参数'!$E$16,5),IF(H321="EI",IF($C$1="预估功能点",'模板使用说明&amp;基础参数'!$E$17,'模板使用说明&amp;基础参数'!$E$24),IF(H321="EO",IF($C$1="预估功能点",'模板使用说明&amp;基础参数'!$E$18,'模板使用说明&amp;基础参数'!$E$25),IF(H321="EQ",IF($C$1="预估功能点",'模板使用说明&amp;基础参数'!$E$19,'模板使用说明&amp;基础参数'!$E$26),"")))))</f>
        <v>7</v>
      </c>
      <c r="J321" s="97" t="s">
        <v>38</v>
      </c>
      <c r="K321" s="97" t="s">
        <v>78</v>
      </c>
      <c r="L321" s="98">
        <f>IF(I321="","",IF(J321="高",IF(K321="删除",I321*'模板使用说明&amp;基础参数'!$E$5*'模板使用说明&amp;基础参数'!$E$12,IF(K321="修改",I321*'模板使用说明&amp;基础参数'!$E$5*'模板使用说明&amp;基础参数'!$E$11,I321*'模板使用说明&amp;基础参数'!$E$5*'模板使用说明&amp;基础参数'!$E$10)),IF(J321="中",IF(K321="删除",I321*'模板使用说明&amp;基础参数'!$E$6*'模板使用说明&amp;基础参数'!$E$12,IF(K321="修改",I321*'模板使用说明&amp;基础参数'!$E$6*'模板使用说明&amp;基础参数'!$E$11,I321*'模板使用说明&amp;基础参数'!$E$6*'模板使用说明&amp;基础参数'!$E$10)),IF(K321="删除",I321*'模板使用说明&amp;基础参数'!$E$7*'模板使用说明&amp;基础参数'!$E$12,IF(K321="修改",I321*'模板使用说明&amp;基础参数'!$E$7*'模板使用说明&amp;基础参数'!$E$11,I321*'模板使用说明&amp;基础参数'!$E$7*'模板使用说明&amp;基础参数'!$E$10)))))</f>
        <v>1.86666666666666</v>
      </c>
      <c r="M321" s="95"/>
      <c r="N321" s="99"/>
      <c r="O321" s="100"/>
    </row>
    <row r="322" s="70" customFormat="1" ht="25" customHeight="1" spans="1:15">
      <c r="A322" s="93">
        <v>317</v>
      </c>
      <c r="B322" s="94" t="s">
        <v>72</v>
      </c>
      <c r="C322" s="103" t="s">
        <v>73</v>
      </c>
      <c r="D322" s="95" t="s">
        <v>74</v>
      </c>
      <c r="E322" s="95" t="s">
        <v>74</v>
      </c>
      <c r="F322" s="95" t="s">
        <v>722</v>
      </c>
      <c r="G322" s="95" t="s">
        <v>723</v>
      </c>
      <c r="H322" s="93" t="s">
        <v>81</v>
      </c>
      <c r="I322" s="96">
        <f>IF(H322="ILF",IF($C$1="预估功能点",'模板使用说明&amp;基础参数'!$E$15,7),IF(H322="EIF",IF($C$1="预估功能点",'模板使用说明&amp;基础参数'!$E$16,5),IF(H322="EI",IF($C$1="预估功能点",'模板使用说明&amp;基础参数'!$E$17,'模板使用说明&amp;基础参数'!$E$24),IF(H322="EO",IF($C$1="预估功能点",'模板使用说明&amp;基础参数'!$E$18,'模板使用说明&amp;基础参数'!$E$25),IF(H322="EQ",IF($C$1="预估功能点",'模板使用说明&amp;基础参数'!$E$19,'模板使用说明&amp;基础参数'!$E$26),"")))))</f>
        <v>4</v>
      </c>
      <c r="J322" s="97" t="s">
        <v>38</v>
      </c>
      <c r="K322" s="97" t="s">
        <v>78</v>
      </c>
      <c r="L322" s="98">
        <f>IF(I322="","",IF(J322="高",IF(K322="删除",I322*'模板使用说明&amp;基础参数'!$E$5*'模板使用说明&amp;基础参数'!$E$12,IF(K322="修改",I322*'模板使用说明&amp;基础参数'!$E$5*'模板使用说明&amp;基础参数'!$E$11,I322*'模板使用说明&amp;基础参数'!$E$5*'模板使用说明&amp;基础参数'!$E$10)),IF(J322="中",IF(K322="删除",I322*'模板使用说明&amp;基础参数'!$E$6*'模板使用说明&amp;基础参数'!$E$12,IF(K322="修改",I322*'模板使用说明&amp;基础参数'!$E$6*'模板使用说明&amp;基础参数'!$E$11,I322*'模板使用说明&amp;基础参数'!$E$6*'模板使用说明&amp;基础参数'!$E$10)),IF(K322="删除",I322*'模板使用说明&amp;基础参数'!$E$7*'模板使用说明&amp;基础参数'!$E$12,IF(K322="修改",I322*'模板使用说明&amp;基础参数'!$E$7*'模板使用说明&amp;基础参数'!$E$11,I322*'模板使用说明&amp;基础参数'!$E$7*'模板使用说明&amp;基础参数'!$E$10)))))</f>
        <v>1.06666666666667</v>
      </c>
      <c r="M322" s="95"/>
      <c r="N322" s="99"/>
      <c r="O322" s="100"/>
    </row>
    <row r="323" s="70" customFormat="1" ht="25" customHeight="1" spans="1:15">
      <c r="A323" s="93">
        <v>318</v>
      </c>
      <c r="B323" s="94" t="s">
        <v>72</v>
      </c>
      <c r="C323" s="95" t="s">
        <v>73</v>
      </c>
      <c r="D323" s="95" t="s">
        <v>74</v>
      </c>
      <c r="E323" s="95" t="s">
        <v>74</v>
      </c>
      <c r="F323" s="95" t="s">
        <v>724</v>
      </c>
      <c r="G323" s="95" t="s">
        <v>725</v>
      </c>
      <c r="H323" s="93" t="s">
        <v>84</v>
      </c>
      <c r="I323" s="96">
        <f>IF(H323="ILF",IF($C$1="预估功能点",'模板使用说明&amp;基础参数'!$E$15,7),IF(H323="EIF",IF($C$1="预估功能点",'模板使用说明&amp;基础参数'!$E$16,5),IF(H323="EI",IF($C$1="预估功能点",'模板使用说明&amp;基础参数'!$E$17,'模板使用说明&amp;基础参数'!$E$24),IF(H323="EO",IF($C$1="预估功能点",'模板使用说明&amp;基础参数'!$E$18,'模板使用说明&amp;基础参数'!$E$25),IF(H323="EQ",IF($C$1="预估功能点",'模板使用说明&amp;基础参数'!$E$19,'模板使用说明&amp;基础参数'!$E$26),"")))))</f>
        <v>4</v>
      </c>
      <c r="J323" s="97" t="s">
        <v>38</v>
      </c>
      <c r="K323" s="97" t="s">
        <v>78</v>
      </c>
      <c r="L323" s="98">
        <f>IF(I323="","",IF(J323="高",IF(K323="删除",I323*'模板使用说明&amp;基础参数'!$E$5*'模板使用说明&amp;基础参数'!$E$12,IF(K323="修改",I323*'模板使用说明&amp;基础参数'!$E$5*'模板使用说明&amp;基础参数'!$E$11,I323*'模板使用说明&amp;基础参数'!$E$5*'模板使用说明&amp;基础参数'!$E$10)),IF(J323="中",IF(K323="删除",I323*'模板使用说明&amp;基础参数'!$E$6*'模板使用说明&amp;基础参数'!$E$12,IF(K323="修改",I323*'模板使用说明&amp;基础参数'!$E$6*'模板使用说明&amp;基础参数'!$E$11,I323*'模板使用说明&amp;基础参数'!$E$6*'模板使用说明&amp;基础参数'!$E$10)),IF(K323="删除",I323*'模板使用说明&amp;基础参数'!$E$7*'模板使用说明&amp;基础参数'!$E$12,IF(K323="修改",I323*'模板使用说明&amp;基础参数'!$E$7*'模板使用说明&amp;基础参数'!$E$11,I323*'模板使用说明&amp;基础参数'!$E$7*'模板使用说明&amp;基础参数'!$E$10)))))</f>
        <v>1.06666666666667</v>
      </c>
      <c r="M323" s="95"/>
      <c r="N323" s="99"/>
      <c r="O323" s="100"/>
    </row>
    <row r="324" s="70" customFormat="1" ht="25" customHeight="1" spans="1:15">
      <c r="A324" s="93">
        <v>319</v>
      </c>
      <c r="B324" s="94" t="s">
        <v>72</v>
      </c>
      <c r="C324" s="95" t="s">
        <v>73</v>
      </c>
      <c r="D324" s="95" t="s">
        <v>74</v>
      </c>
      <c r="E324" s="95" t="s">
        <v>74</v>
      </c>
      <c r="F324" s="95" t="s">
        <v>726</v>
      </c>
      <c r="G324" s="95" t="s">
        <v>727</v>
      </c>
      <c r="H324" s="93" t="s">
        <v>84</v>
      </c>
      <c r="I324" s="96">
        <f>IF(H324="ILF",IF($C$1="预估功能点",'模板使用说明&amp;基础参数'!$E$15,7),IF(H324="EIF",IF($C$1="预估功能点",'模板使用说明&amp;基础参数'!$E$16,5),IF(H324="EI",IF($C$1="预估功能点",'模板使用说明&amp;基础参数'!$E$17,'模板使用说明&amp;基础参数'!$E$24),IF(H324="EO",IF($C$1="预估功能点",'模板使用说明&amp;基础参数'!$E$18,'模板使用说明&amp;基础参数'!$E$25),IF(H324="EQ",IF($C$1="预估功能点",'模板使用说明&amp;基础参数'!$E$19,'模板使用说明&amp;基础参数'!$E$26),"")))))</f>
        <v>4</v>
      </c>
      <c r="J324" s="97" t="s">
        <v>38</v>
      </c>
      <c r="K324" s="97" t="s">
        <v>78</v>
      </c>
      <c r="L324" s="98">
        <f>IF(I324="","",IF(J324="高",IF(K324="删除",I324*'模板使用说明&amp;基础参数'!$E$5*'模板使用说明&amp;基础参数'!$E$12,IF(K324="修改",I324*'模板使用说明&amp;基础参数'!$E$5*'模板使用说明&amp;基础参数'!$E$11,I324*'模板使用说明&amp;基础参数'!$E$5*'模板使用说明&amp;基础参数'!$E$10)),IF(J324="中",IF(K324="删除",I324*'模板使用说明&amp;基础参数'!$E$6*'模板使用说明&amp;基础参数'!$E$12,IF(K324="修改",I324*'模板使用说明&amp;基础参数'!$E$6*'模板使用说明&amp;基础参数'!$E$11,I324*'模板使用说明&amp;基础参数'!$E$6*'模板使用说明&amp;基础参数'!$E$10)),IF(K324="删除",I324*'模板使用说明&amp;基础参数'!$E$7*'模板使用说明&amp;基础参数'!$E$12,IF(K324="修改",I324*'模板使用说明&amp;基础参数'!$E$7*'模板使用说明&amp;基础参数'!$E$11,I324*'模板使用说明&amp;基础参数'!$E$7*'模板使用说明&amp;基础参数'!$E$10)))))</f>
        <v>1.06666666666667</v>
      </c>
      <c r="M324" s="95"/>
      <c r="N324" s="99"/>
      <c r="O324" s="100"/>
    </row>
    <row r="325" s="70" customFormat="1" ht="25" customHeight="1" spans="1:15">
      <c r="A325" s="93">
        <v>320</v>
      </c>
      <c r="B325" s="94" t="s">
        <v>72</v>
      </c>
      <c r="C325" s="95" t="s">
        <v>73</v>
      </c>
      <c r="D325" s="95" t="s">
        <v>74</v>
      </c>
      <c r="E325" s="95" t="s">
        <v>74</v>
      </c>
      <c r="F325" s="95" t="s">
        <v>728</v>
      </c>
      <c r="G325" s="95" t="s">
        <v>729</v>
      </c>
      <c r="H325" s="93" t="s">
        <v>84</v>
      </c>
      <c r="I325" s="96">
        <f>IF(H325="ILF",IF($C$1="预估功能点",'模板使用说明&amp;基础参数'!$E$15,7),IF(H325="EIF",IF($C$1="预估功能点",'模板使用说明&amp;基础参数'!$E$16,5),IF(H325="EI",IF($C$1="预估功能点",'模板使用说明&amp;基础参数'!$E$17,'模板使用说明&amp;基础参数'!$E$24),IF(H325="EO",IF($C$1="预估功能点",'模板使用说明&amp;基础参数'!$E$18,'模板使用说明&amp;基础参数'!$E$25),IF(H325="EQ",IF($C$1="预估功能点",'模板使用说明&amp;基础参数'!$E$19,'模板使用说明&amp;基础参数'!$E$26),"")))))</f>
        <v>4</v>
      </c>
      <c r="J325" s="97" t="s">
        <v>38</v>
      </c>
      <c r="K325" s="97" t="s">
        <v>78</v>
      </c>
      <c r="L325" s="98">
        <f>IF(I325="","",IF(J325="高",IF(K325="删除",I325*'模板使用说明&amp;基础参数'!$E$5*'模板使用说明&amp;基础参数'!$E$12,IF(K325="修改",I325*'模板使用说明&amp;基础参数'!$E$5*'模板使用说明&amp;基础参数'!$E$11,I325*'模板使用说明&amp;基础参数'!$E$5*'模板使用说明&amp;基础参数'!$E$10)),IF(J325="中",IF(K325="删除",I325*'模板使用说明&amp;基础参数'!$E$6*'模板使用说明&amp;基础参数'!$E$12,IF(K325="修改",I325*'模板使用说明&amp;基础参数'!$E$6*'模板使用说明&amp;基础参数'!$E$11,I325*'模板使用说明&amp;基础参数'!$E$6*'模板使用说明&amp;基础参数'!$E$10)),IF(K325="删除",I325*'模板使用说明&amp;基础参数'!$E$7*'模板使用说明&amp;基础参数'!$E$12,IF(K325="修改",I325*'模板使用说明&amp;基础参数'!$E$7*'模板使用说明&amp;基础参数'!$E$11,I325*'模板使用说明&amp;基础参数'!$E$7*'模板使用说明&amp;基础参数'!$E$10)))))</f>
        <v>1.06666666666667</v>
      </c>
      <c r="M325" s="95"/>
      <c r="N325" s="99"/>
      <c r="O325" s="100"/>
    </row>
    <row r="326" s="70" customFormat="1" ht="25" customHeight="1" spans="1:15">
      <c r="A326" s="93">
        <v>321</v>
      </c>
      <c r="B326" s="94" t="s">
        <v>72</v>
      </c>
      <c r="C326" s="95" t="s">
        <v>73</v>
      </c>
      <c r="D326" s="95" t="s">
        <v>74</v>
      </c>
      <c r="E326" s="95" t="s">
        <v>74</v>
      </c>
      <c r="F326" s="95" t="s">
        <v>730</v>
      </c>
      <c r="G326" s="95" t="s">
        <v>731</v>
      </c>
      <c r="H326" s="93" t="s">
        <v>77</v>
      </c>
      <c r="I326" s="96">
        <f>IF(H326="ILF",IF($C$1="预估功能点",'模板使用说明&amp;基础参数'!$E$15,7),IF(H326="EIF",IF($C$1="预估功能点",'模板使用说明&amp;基础参数'!$E$16,5),IF(H326="EI",IF($C$1="预估功能点",'模板使用说明&amp;基础参数'!$E$17,'模板使用说明&amp;基础参数'!$E$24),IF(H326="EO",IF($C$1="预估功能点",'模板使用说明&amp;基础参数'!$E$18,'模板使用说明&amp;基础参数'!$E$25),IF(H326="EQ",IF($C$1="预估功能点",'模板使用说明&amp;基础参数'!$E$19,'模板使用说明&amp;基础参数'!$E$26),"")))))</f>
        <v>7</v>
      </c>
      <c r="J326" s="97" t="s">
        <v>38</v>
      </c>
      <c r="K326" s="97" t="s">
        <v>78</v>
      </c>
      <c r="L326" s="98">
        <f>IF(I326="","",IF(J326="高",IF(K326="删除",I326*'模板使用说明&amp;基础参数'!$E$5*'模板使用说明&amp;基础参数'!$E$12,IF(K326="修改",I326*'模板使用说明&amp;基础参数'!$E$5*'模板使用说明&amp;基础参数'!$E$11,I326*'模板使用说明&amp;基础参数'!$E$5*'模板使用说明&amp;基础参数'!$E$10)),IF(J326="中",IF(K326="删除",I326*'模板使用说明&amp;基础参数'!$E$6*'模板使用说明&amp;基础参数'!$E$12,IF(K326="修改",I326*'模板使用说明&amp;基础参数'!$E$6*'模板使用说明&amp;基础参数'!$E$11,I326*'模板使用说明&amp;基础参数'!$E$6*'模板使用说明&amp;基础参数'!$E$10)),IF(K326="删除",I326*'模板使用说明&amp;基础参数'!$E$7*'模板使用说明&amp;基础参数'!$E$12,IF(K326="修改",I326*'模板使用说明&amp;基础参数'!$E$7*'模板使用说明&amp;基础参数'!$E$11,I326*'模板使用说明&amp;基础参数'!$E$7*'模板使用说明&amp;基础参数'!$E$10)))))</f>
        <v>1.86666666666666</v>
      </c>
      <c r="M326" s="95"/>
      <c r="N326" s="99"/>
      <c r="O326" s="100"/>
    </row>
    <row r="327" s="70" customFormat="1" ht="25" customHeight="1" spans="1:15">
      <c r="A327" s="93">
        <v>322</v>
      </c>
      <c r="B327" s="94" t="s">
        <v>72</v>
      </c>
      <c r="C327" s="95" t="s">
        <v>73</v>
      </c>
      <c r="D327" s="95" t="s">
        <v>74</v>
      </c>
      <c r="E327" s="95" t="s">
        <v>74</v>
      </c>
      <c r="F327" s="95" t="s">
        <v>732</v>
      </c>
      <c r="G327" s="95" t="s">
        <v>733</v>
      </c>
      <c r="H327" s="93" t="s">
        <v>81</v>
      </c>
      <c r="I327" s="96">
        <f>IF(H327="ILF",IF($C$1="预估功能点",'模板使用说明&amp;基础参数'!$E$15,7),IF(H327="EIF",IF($C$1="预估功能点",'模板使用说明&amp;基础参数'!$E$16,5),IF(H327="EI",IF($C$1="预估功能点",'模板使用说明&amp;基础参数'!$E$17,'模板使用说明&amp;基础参数'!$E$24),IF(H327="EO",IF($C$1="预估功能点",'模板使用说明&amp;基础参数'!$E$18,'模板使用说明&amp;基础参数'!$E$25),IF(H327="EQ",IF($C$1="预估功能点",'模板使用说明&amp;基础参数'!$E$19,'模板使用说明&amp;基础参数'!$E$26),"")))))</f>
        <v>4</v>
      </c>
      <c r="J327" s="97" t="s">
        <v>38</v>
      </c>
      <c r="K327" s="97" t="s">
        <v>78</v>
      </c>
      <c r="L327" s="98">
        <f>IF(I327="","",IF(J327="高",IF(K327="删除",I327*'模板使用说明&amp;基础参数'!$E$5*'模板使用说明&amp;基础参数'!$E$12,IF(K327="修改",I327*'模板使用说明&amp;基础参数'!$E$5*'模板使用说明&amp;基础参数'!$E$11,I327*'模板使用说明&amp;基础参数'!$E$5*'模板使用说明&amp;基础参数'!$E$10)),IF(J327="中",IF(K327="删除",I327*'模板使用说明&amp;基础参数'!$E$6*'模板使用说明&amp;基础参数'!$E$12,IF(K327="修改",I327*'模板使用说明&amp;基础参数'!$E$6*'模板使用说明&amp;基础参数'!$E$11,I327*'模板使用说明&amp;基础参数'!$E$6*'模板使用说明&amp;基础参数'!$E$10)),IF(K327="删除",I327*'模板使用说明&amp;基础参数'!$E$7*'模板使用说明&amp;基础参数'!$E$12,IF(K327="修改",I327*'模板使用说明&amp;基础参数'!$E$7*'模板使用说明&amp;基础参数'!$E$11,I327*'模板使用说明&amp;基础参数'!$E$7*'模板使用说明&amp;基础参数'!$E$10)))))</f>
        <v>1.06666666666667</v>
      </c>
      <c r="M327" s="95"/>
      <c r="N327" s="99"/>
      <c r="O327" s="100"/>
    </row>
    <row r="328" s="70" customFormat="1" ht="25" customHeight="1" spans="1:15">
      <c r="A328" s="93">
        <v>323</v>
      </c>
      <c r="B328" s="94" t="s">
        <v>72</v>
      </c>
      <c r="C328" s="95" t="s">
        <v>73</v>
      </c>
      <c r="D328" s="95" t="s">
        <v>74</v>
      </c>
      <c r="E328" s="95" t="s">
        <v>74</v>
      </c>
      <c r="F328" s="95" t="s">
        <v>734</v>
      </c>
      <c r="G328" s="95" t="s">
        <v>735</v>
      </c>
      <c r="H328" s="93" t="s">
        <v>84</v>
      </c>
      <c r="I328" s="96">
        <f>IF(H328="ILF",IF($C$1="预估功能点",'模板使用说明&amp;基础参数'!$E$15,7),IF(H328="EIF",IF($C$1="预估功能点",'模板使用说明&amp;基础参数'!$E$16,5),IF(H328="EI",IF($C$1="预估功能点",'模板使用说明&amp;基础参数'!$E$17,'模板使用说明&amp;基础参数'!$E$24),IF(H328="EO",IF($C$1="预估功能点",'模板使用说明&amp;基础参数'!$E$18,'模板使用说明&amp;基础参数'!$E$25),IF(H328="EQ",IF($C$1="预估功能点",'模板使用说明&amp;基础参数'!$E$19,'模板使用说明&amp;基础参数'!$E$26),"")))))</f>
        <v>4</v>
      </c>
      <c r="J328" s="97" t="s">
        <v>38</v>
      </c>
      <c r="K328" s="97" t="s">
        <v>78</v>
      </c>
      <c r="L328" s="98">
        <f>IF(I328="","",IF(J328="高",IF(K328="删除",I328*'模板使用说明&amp;基础参数'!$E$5*'模板使用说明&amp;基础参数'!$E$12,IF(K328="修改",I328*'模板使用说明&amp;基础参数'!$E$5*'模板使用说明&amp;基础参数'!$E$11,I328*'模板使用说明&amp;基础参数'!$E$5*'模板使用说明&amp;基础参数'!$E$10)),IF(J328="中",IF(K328="删除",I328*'模板使用说明&amp;基础参数'!$E$6*'模板使用说明&amp;基础参数'!$E$12,IF(K328="修改",I328*'模板使用说明&amp;基础参数'!$E$6*'模板使用说明&amp;基础参数'!$E$11,I328*'模板使用说明&amp;基础参数'!$E$6*'模板使用说明&amp;基础参数'!$E$10)),IF(K328="删除",I328*'模板使用说明&amp;基础参数'!$E$7*'模板使用说明&amp;基础参数'!$E$12,IF(K328="修改",I328*'模板使用说明&amp;基础参数'!$E$7*'模板使用说明&amp;基础参数'!$E$11,I328*'模板使用说明&amp;基础参数'!$E$7*'模板使用说明&amp;基础参数'!$E$10)))))</f>
        <v>1.06666666666667</v>
      </c>
      <c r="M328" s="95"/>
      <c r="N328" s="99"/>
      <c r="O328" s="100"/>
    </row>
    <row r="329" s="70" customFormat="1" ht="25" customHeight="1" spans="1:15">
      <c r="A329" s="93">
        <v>324</v>
      </c>
      <c r="B329" s="94" t="s">
        <v>72</v>
      </c>
      <c r="C329" s="95" t="s">
        <v>73</v>
      </c>
      <c r="D329" s="95" t="s">
        <v>74</v>
      </c>
      <c r="E329" s="95" t="s">
        <v>74</v>
      </c>
      <c r="F329" s="95" t="s">
        <v>736</v>
      </c>
      <c r="G329" s="95" t="s">
        <v>737</v>
      </c>
      <c r="H329" s="93" t="s">
        <v>84</v>
      </c>
      <c r="I329" s="96">
        <f>IF(H329="ILF",IF($C$1="预估功能点",'模板使用说明&amp;基础参数'!$E$15,7),IF(H329="EIF",IF($C$1="预估功能点",'模板使用说明&amp;基础参数'!$E$16,5),IF(H329="EI",IF($C$1="预估功能点",'模板使用说明&amp;基础参数'!$E$17,'模板使用说明&amp;基础参数'!$E$24),IF(H329="EO",IF($C$1="预估功能点",'模板使用说明&amp;基础参数'!$E$18,'模板使用说明&amp;基础参数'!$E$25),IF(H329="EQ",IF($C$1="预估功能点",'模板使用说明&amp;基础参数'!$E$19,'模板使用说明&amp;基础参数'!$E$26),"")))))</f>
        <v>4</v>
      </c>
      <c r="J329" s="97" t="s">
        <v>38</v>
      </c>
      <c r="K329" s="97" t="s">
        <v>78</v>
      </c>
      <c r="L329" s="98">
        <f>IF(I329="","",IF(J329="高",IF(K329="删除",I329*'模板使用说明&amp;基础参数'!$E$5*'模板使用说明&amp;基础参数'!$E$12,IF(K329="修改",I329*'模板使用说明&amp;基础参数'!$E$5*'模板使用说明&amp;基础参数'!$E$11,I329*'模板使用说明&amp;基础参数'!$E$5*'模板使用说明&amp;基础参数'!$E$10)),IF(J329="中",IF(K329="删除",I329*'模板使用说明&amp;基础参数'!$E$6*'模板使用说明&amp;基础参数'!$E$12,IF(K329="修改",I329*'模板使用说明&amp;基础参数'!$E$6*'模板使用说明&amp;基础参数'!$E$11,I329*'模板使用说明&amp;基础参数'!$E$6*'模板使用说明&amp;基础参数'!$E$10)),IF(K329="删除",I329*'模板使用说明&amp;基础参数'!$E$7*'模板使用说明&amp;基础参数'!$E$12,IF(K329="修改",I329*'模板使用说明&amp;基础参数'!$E$7*'模板使用说明&amp;基础参数'!$E$11,I329*'模板使用说明&amp;基础参数'!$E$7*'模板使用说明&amp;基础参数'!$E$10)))))</f>
        <v>1.06666666666667</v>
      </c>
      <c r="M329" s="95"/>
      <c r="N329" s="99"/>
      <c r="O329" s="100"/>
    </row>
    <row r="330" s="70" customFormat="1" ht="25" customHeight="1" spans="1:15">
      <c r="A330" s="93">
        <v>325</v>
      </c>
      <c r="B330" s="94" t="s">
        <v>72</v>
      </c>
      <c r="C330" s="95" t="s">
        <v>73</v>
      </c>
      <c r="D330" s="95" t="s">
        <v>74</v>
      </c>
      <c r="E330" s="95" t="s">
        <v>74</v>
      </c>
      <c r="F330" s="95" t="s">
        <v>738</v>
      </c>
      <c r="G330" s="95" t="s">
        <v>739</v>
      </c>
      <c r="H330" s="93" t="s">
        <v>84</v>
      </c>
      <c r="I330" s="96">
        <f>IF(H330="ILF",IF($C$1="预估功能点",'模板使用说明&amp;基础参数'!$E$15,7),IF(H330="EIF",IF($C$1="预估功能点",'模板使用说明&amp;基础参数'!$E$16,5),IF(H330="EI",IF($C$1="预估功能点",'模板使用说明&amp;基础参数'!$E$17,'模板使用说明&amp;基础参数'!$E$24),IF(H330="EO",IF($C$1="预估功能点",'模板使用说明&amp;基础参数'!$E$18,'模板使用说明&amp;基础参数'!$E$25),IF(H330="EQ",IF($C$1="预估功能点",'模板使用说明&amp;基础参数'!$E$19,'模板使用说明&amp;基础参数'!$E$26),"")))))</f>
        <v>4</v>
      </c>
      <c r="J330" s="97" t="s">
        <v>38</v>
      </c>
      <c r="K330" s="97" t="s">
        <v>78</v>
      </c>
      <c r="L330" s="98">
        <f>IF(I330="","",IF(J330="高",IF(K330="删除",I330*'模板使用说明&amp;基础参数'!$E$5*'模板使用说明&amp;基础参数'!$E$12,IF(K330="修改",I330*'模板使用说明&amp;基础参数'!$E$5*'模板使用说明&amp;基础参数'!$E$11,I330*'模板使用说明&amp;基础参数'!$E$5*'模板使用说明&amp;基础参数'!$E$10)),IF(J330="中",IF(K330="删除",I330*'模板使用说明&amp;基础参数'!$E$6*'模板使用说明&amp;基础参数'!$E$12,IF(K330="修改",I330*'模板使用说明&amp;基础参数'!$E$6*'模板使用说明&amp;基础参数'!$E$11,I330*'模板使用说明&amp;基础参数'!$E$6*'模板使用说明&amp;基础参数'!$E$10)),IF(K330="删除",I330*'模板使用说明&amp;基础参数'!$E$7*'模板使用说明&amp;基础参数'!$E$12,IF(K330="修改",I330*'模板使用说明&amp;基础参数'!$E$7*'模板使用说明&amp;基础参数'!$E$11,I330*'模板使用说明&amp;基础参数'!$E$7*'模板使用说明&amp;基础参数'!$E$10)))))</f>
        <v>1.06666666666667</v>
      </c>
      <c r="M330" s="95"/>
      <c r="N330" s="99"/>
      <c r="O330" s="100"/>
    </row>
    <row r="331" s="70" customFormat="1" ht="25" customHeight="1" spans="1:15">
      <c r="A331" s="93">
        <v>326</v>
      </c>
      <c r="B331" s="94" t="s">
        <v>72</v>
      </c>
      <c r="C331" s="95" t="s">
        <v>73</v>
      </c>
      <c r="D331" s="95" t="s">
        <v>74</v>
      </c>
      <c r="E331" s="95" t="s">
        <v>74</v>
      </c>
      <c r="F331" s="95" t="s">
        <v>740</v>
      </c>
      <c r="G331" s="95" t="s">
        <v>741</v>
      </c>
      <c r="H331" s="93" t="s">
        <v>77</v>
      </c>
      <c r="I331" s="96">
        <f>IF(H331="ILF",IF($C$1="预估功能点",'模板使用说明&amp;基础参数'!$E$15,7),IF(H331="EIF",IF($C$1="预估功能点",'模板使用说明&amp;基础参数'!$E$16,5),IF(H331="EI",IF($C$1="预估功能点",'模板使用说明&amp;基础参数'!$E$17,'模板使用说明&amp;基础参数'!$E$24),IF(H331="EO",IF($C$1="预估功能点",'模板使用说明&amp;基础参数'!$E$18,'模板使用说明&amp;基础参数'!$E$25),IF(H331="EQ",IF($C$1="预估功能点",'模板使用说明&amp;基础参数'!$E$19,'模板使用说明&amp;基础参数'!$E$26),"")))))</f>
        <v>7</v>
      </c>
      <c r="J331" s="97" t="s">
        <v>38</v>
      </c>
      <c r="K331" s="97" t="s">
        <v>78</v>
      </c>
      <c r="L331" s="98">
        <f>IF(I331="","",IF(J331="高",IF(K331="删除",I331*'模板使用说明&amp;基础参数'!$E$5*'模板使用说明&amp;基础参数'!$E$12,IF(K331="修改",I331*'模板使用说明&amp;基础参数'!$E$5*'模板使用说明&amp;基础参数'!$E$11,I331*'模板使用说明&amp;基础参数'!$E$5*'模板使用说明&amp;基础参数'!$E$10)),IF(J331="中",IF(K331="删除",I331*'模板使用说明&amp;基础参数'!$E$6*'模板使用说明&amp;基础参数'!$E$12,IF(K331="修改",I331*'模板使用说明&amp;基础参数'!$E$6*'模板使用说明&amp;基础参数'!$E$11,I331*'模板使用说明&amp;基础参数'!$E$6*'模板使用说明&amp;基础参数'!$E$10)),IF(K331="删除",I331*'模板使用说明&amp;基础参数'!$E$7*'模板使用说明&amp;基础参数'!$E$12,IF(K331="修改",I331*'模板使用说明&amp;基础参数'!$E$7*'模板使用说明&amp;基础参数'!$E$11,I331*'模板使用说明&amp;基础参数'!$E$7*'模板使用说明&amp;基础参数'!$E$10)))))</f>
        <v>1.86666666666666</v>
      </c>
      <c r="M331" s="95"/>
      <c r="N331" s="99"/>
      <c r="O331" s="100"/>
    </row>
    <row r="332" s="70" customFormat="1" ht="25" customHeight="1" spans="1:15">
      <c r="A332" s="93">
        <v>327</v>
      </c>
      <c r="B332" s="94" t="s">
        <v>72</v>
      </c>
      <c r="C332" s="95" t="s">
        <v>73</v>
      </c>
      <c r="D332" s="95" t="s">
        <v>74</v>
      </c>
      <c r="E332" s="95" t="s">
        <v>74</v>
      </c>
      <c r="F332" s="95" t="s">
        <v>742</v>
      </c>
      <c r="G332" s="95" t="s">
        <v>743</v>
      </c>
      <c r="H332" s="93" t="s">
        <v>81</v>
      </c>
      <c r="I332" s="96">
        <f>IF(H332="ILF",IF($C$1="预估功能点",'模板使用说明&amp;基础参数'!$E$15,7),IF(H332="EIF",IF($C$1="预估功能点",'模板使用说明&amp;基础参数'!$E$16,5),IF(H332="EI",IF($C$1="预估功能点",'模板使用说明&amp;基础参数'!$E$17,'模板使用说明&amp;基础参数'!$E$24),IF(H332="EO",IF($C$1="预估功能点",'模板使用说明&amp;基础参数'!$E$18,'模板使用说明&amp;基础参数'!$E$25),IF(H332="EQ",IF($C$1="预估功能点",'模板使用说明&amp;基础参数'!$E$19,'模板使用说明&amp;基础参数'!$E$26),"")))))</f>
        <v>4</v>
      </c>
      <c r="J332" s="97" t="s">
        <v>38</v>
      </c>
      <c r="K332" s="97" t="s">
        <v>78</v>
      </c>
      <c r="L332" s="98">
        <f>IF(I332="","",IF(J332="高",IF(K332="删除",I332*'模板使用说明&amp;基础参数'!$E$5*'模板使用说明&amp;基础参数'!$E$12,IF(K332="修改",I332*'模板使用说明&amp;基础参数'!$E$5*'模板使用说明&amp;基础参数'!$E$11,I332*'模板使用说明&amp;基础参数'!$E$5*'模板使用说明&amp;基础参数'!$E$10)),IF(J332="中",IF(K332="删除",I332*'模板使用说明&amp;基础参数'!$E$6*'模板使用说明&amp;基础参数'!$E$12,IF(K332="修改",I332*'模板使用说明&amp;基础参数'!$E$6*'模板使用说明&amp;基础参数'!$E$11,I332*'模板使用说明&amp;基础参数'!$E$6*'模板使用说明&amp;基础参数'!$E$10)),IF(K332="删除",I332*'模板使用说明&amp;基础参数'!$E$7*'模板使用说明&amp;基础参数'!$E$12,IF(K332="修改",I332*'模板使用说明&amp;基础参数'!$E$7*'模板使用说明&amp;基础参数'!$E$11,I332*'模板使用说明&amp;基础参数'!$E$7*'模板使用说明&amp;基础参数'!$E$10)))))</f>
        <v>1.06666666666667</v>
      </c>
      <c r="M332" s="95"/>
      <c r="N332" s="99"/>
      <c r="O332" s="100"/>
    </row>
    <row r="333" s="70" customFormat="1" ht="25" customHeight="1" spans="1:15">
      <c r="A333" s="93">
        <v>328</v>
      </c>
      <c r="B333" s="94" t="s">
        <v>72</v>
      </c>
      <c r="C333" s="95" t="s">
        <v>73</v>
      </c>
      <c r="D333" s="95" t="s">
        <v>74</v>
      </c>
      <c r="E333" s="95" t="s">
        <v>74</v>
      </c>
      <c r="F333" s="95" t="s">
        <v>744</v>
      </c>
      <c r="G333" s="95" t="s">
        <v>745</v>
      </c>
      <c r="H333" s="93" t="s">
        <v>84</v>
      </c>
      <c r="I333" s="96">
        <f>IF(H333="ILF",IF($C$1="预估功能点",'模板使用说明&amp;基础参数'!$E$15,7),IF(H333="EIF",IF($C$1="预估功能点",'模板使用说明&amp;基础参数'!$E$16,5),IF(H333="EI",IF($C$1="预估功能点",'模板使用说明&amp;基础参数'!$E$17,'模板使用说明&amp;基础参数'!$E$24),IF(H333="EO",IF($C$1="预估功能点",'模板使用说明&amp;基础参数'!$E$18,'模板使用说明&amp;基础参数'!$E$25),IF(H333="EQ",IF($C$1="预估功能点",'模板使用说明&amp;基础参数'!$E$19,'模板使用说明&amp;基础参数'!$E$26),"")))))</f>
        <v>4</v>
      </c>
      <c r="J333" s="97" t="s">
        <v>38</v>
      </c>
      <c r="K333" s="97" t="s">
        <v>78</v>
      </c>
      <c r="L333" s="98">
        <f>IF(I333="","",IF(J333="高",IF(K333="删除",I333*'模板使用说明&amp;基础参数'!$E$5*'模板使用说明&amp;基础参数'!$E$12,IF(K333="修改",I333*'模板使用说明&amp;基础参数'!$E$5*'模板使用说明&amp;基础参数'!$E$11,I333*'模板使用说明&amp;基础参数'!$E$5*'模板使用说明&amp;基础参数'!$E$10)),IF(J333="中",IF(K333="删除",I333*'模板使用说明&amp;基础参数'!$E$6*'模板使用说明&amp;基础参数'!$E$12,IF(K333="修改",I333*'模板使用说明&amp;基础参数'!$E$6*'模板使用说明&amp;基础参数'!$E$11,I333*'模板使用说明&amp;基础参数'!$E$6*'模板使用说明&amp;基础参数'!$E$10)),IF(K333="删除",I333*'模板使用说明&amp;基础参数'!$E$7*'模板使用说明&amp;基础参数'!$E$12,IF(K333="修改",I333*'模板使用说明&amp;基础参数'!$E$7*'模板使用说明&amp;基础参数'!$E$11,I333*'模板使用说明&amp;基础参数'!$E$7*'模板使用说明&amp;基础参数'!$E$10)))))</f>
        <v>1.06666666666667</v>
      </c>
      <c r="M333" s="95"/>
      <c r="N333" s="99"/>
      <c r="O333" s="100"/>
    </row>
    <row r="334" s="70" customFormat="1" ht="25" customHeight="1" spans="1:15">
      <c r="A334" s="93">
        <v>329</v>
      </c>
      <c r="B334" s="94" t="s">
        <v>72</v>
      </c>
      <c r="C334" s="95" t="s">
        <v>73</v>
      </c>
      <c r="D334" s="95" t="s">
        <v>74</v>
      </c>
      <c r="E334" s="95" t="s">
        <v>74</v>
      </c>
      <c r="F334" s="95" t="s">
        <v>746</v>
      </c>
      <c r="G334" s="95" t="s">
        <v>747</v>
      </c>
      <c r="H334" s="93" t="s">
        <v>84</v>
      </c>
      <c r="I334" s="96">
        <f>IF(H334="ILF",IF($C$1="预估功能点",'模板使用说明&amp;基础参数'!$E$15,7),IF(H334="EIF",IF($C$1="预估功能点",'模板使用说明&amp;基础参数'!$E$16,5),IF(H334="EI",IF($C$1="预估功能点",'模板使用说明&amp;基础参数'!$E$17,'模板使用说明&amp;基础参数'!$E$24),IF(H334="EO",IF($C$1="预估功能点",'模板使用说明&amp;基础参数'!$E$18,'模板使用说明&amp;基础参数'!$E$25),IF(H334="EQ",IF($C$1="预估功能点",'模板使用说明&amp;基础参数'!$E$19,'模板使用说明&amp;基础参数'!$E$26),"")))))</f>
        <v>4</v>
      </c>
      <c r="J334" s="97" t="s">
        <v>38</v>
      </c>
      <c r="K334" s="97" t="s">
        <v>78</v>
      </c>
      <c r="L334" s="98">
        <f>IF(I334="","",IF(J334="高",IF(K334="删除",I334*'模板使用说明&amp;基础参数'!$E$5*'模板使用说明&amp;基础参数'!$E$12,IF(K334="修改",I334*'模板使用说明&amp;基础参数'!$E$5*'模板使用说明&amp;基础参数'!$E$11,I334*'模板使用说明&amp;基础参数'!$E$5*'模板使用说明&amp;基础参数'!$E$10)),IF(J334="中",IF(K334="删除",I334*'模板使用说明&amp;基础参数'!$E$6*'模板使用说明&amp;基础参数'!$E$12,IF(K334="修改",I334*'模板使用说明&amp;基础参数'!$E$6*'模板使用说明&amp;基础参数'!$E$11,I334*'模板使用说明&amp;基础参数'!$E$6*'模板使用说明&amp;基础参数'!$E$10)),IF(K334="删除",I334*'模板使用说明&amp;基础参数'!$E$7*'模板使用说明&amp;基础参数'!$E$12,IF(K334="修改",I334*'模板使用说明&amp;基础参数'!$E$7*'模板使用说明&amp;基础参数'!$E$11,I334*'模板使用说明&amp;基础参数'!$E$7*'模板使用说明&amp;基础参数'!$E$10)))))</f>
        <v>1.06666666666667</v>
      </c>
      <c r="M334" s="95"/>
      <c r="N334" s="99"/>
      <c r="O334" s="100"/>
    </row>
    <row r="335" s="70" customFormat="1" ht="25" customHeight="1" spans="1:15">
      <c r="A335" s="93">
        <v>330</v>
      </c>
      <c r="B335" s="94" t="s">
        <v>72</v>
      </c>
      <c r="C335" s="95" t="s">
        <v>73</v>
      </c>
      <c r="D335" s="95" t="s">
        <v>74</v>
      </c>
      <c r="E335" s="95" t="s">
        <v>74</v>
      </c>
      <c r="F335" s="95" t="s">
        <v>748</v>
      </c>
      <c r="G335" s="95" t="s">
        <v>749</v>
      </c>
      <c r="H335" s="93" t="s">
        <v>84</v>
      </c>
      <c r="I335" s="96">
        <f>IF(H335="ILF",IF($C$1="预估功能点",'模板使用说明&amp;基础参数'!$E$15,7),IF(H335="EIF",IF($C$1="预估功能点",'模板使用说明&amp;基础参数'!$E$16,5),IF(H335="EI",IF($C$1="预估功能点",'模板使用说明&amp;基础参数'!$E$17,'模板使用说明&amp;基础参数'!$E$24),IF(H335="EO",IF($C$1="预估功能点",'模板使用说明&amp;基础参数'!$E$18,'模板使用说明&amp;基础参数'!$E$25),IF(H335="EQ",IF($C$1="预估功能点",'模板使用说明&amp;基础参数'!$E$19,'模板使用说明&amp;基础参数'!$E$26),"")))))</f>
        <v>4</v>
      </c>
      <c r="J335" s="97" t="s">
        <v>38</v>
      </c>
      <c r="K335" s="97" t="s">
        <v>78</v>
      </c>
      <c r="L335" s="98">
        <f>IF(I335="","",IF(J335="高",IF(K335="删除",I335*'模板使用说明&amp;基础参数'!$E$5*'模板使用说明&amp;基础参数'!$E$12,IF(K335="修改",I335*'模板使用说明&amp;基础参数'!$E$5*'模板使用说明&amp;基础参数'!$E$11,I335*'模板使用说明&amp;基础参数'!$E$5*'模板使用说明&amp;基础参数'!$E$10)),IF(J335="中",IF(K335="删除",I335*'模板使用说明&amp;基础参数'!$E$6*'模板使用说明&amp;基础参数'!$E$12,IF(K335="修改",I335*'模板使用说明&amp;基础参数'!$E$6*'模板使用说明&amp;基础参数'!$E$11,I335*'模板使用说明&amp;基础参数'!$E$6*'模板使用说明&amp;基础参数'!$E$10)),IF(K335="删除",I335*'模板使用说明&amp;基础参数'!$E$7*'模板使用说明&amp;基础参数'!$E$12,IF(K335="修改",I335*'模板使用说明&amp;基础参数'!$E$7*'模板使用说明&amp;基础参数'!$E$11,I335*'模板使用说明&amp;基础参数'!$E$7*'模板使用说明&amp;基础参数'!$E$10)))))</f>
        <v>1.06666666666667</v>
      </c>
      <c r="M335" s="95"/>
      <c r="N335" s="99"/>
      <c r="O335" s="100"/>
    </row>
    <row r="336" s="70" customFormat="1" ht="25" customHeight="1" spans="1:15">
      <c r="A336" s="93">
        <v>331</v>
      </c>
      <c r="B336" s="94" t="s">
        <v>72</v>
      </c>
      <c r="C336" s="95" t="s">
        <v>73</v>
      </c>
      <c r="D336" s="95" t="s">
        <v>74</v>
      </c>
      <c r="E336" s="95" t="s">
        <v>74</v>
      </c>
      <c r="F336" s="95" t="s">
        <v>750</v>
      </c>
      <c r="G336" s="95" t="s">
        <v>751</v>
      </c>
      <c r="H336" s="93" t="s">
        <v>77</v>
      </c>
      <c r="I336" s="96">
        <f>IF(H336="ILF",IF($C$1="预估功能点",'模板使用说明&amp;基础参数'!$E$15,7),IF(H336="EIF",IF($C$1="预估功能点",'模板使用说明&amp;基础参数'!$E$16,5),IF(H336="EI",IF($C$1="预估功能点",'模板使用说明&amp;基础参数'!$E$17,'模板使用说明&amp;基础参数'!$E$24),IF(H336="EO",IF($C$1="预估功能点",'模板使用说明&amp;基础参数'!$E$18,'模板使用说明&amp;基础参数'!$E$25),IF(H336="EQ",IF($C$1="预估功能点",'模板使用说明&amp;基础参数'!$E$19,'模板使用说明&amp;基础参数'!$E$26),"")))))</f>
        <v>7</v>
      </c>
      <c r="J336" s="97" t="s">
        <v>38</v>
      </c>
      <c r="K336" s="97" t="s">
        <v>78</v>
      </c>
      <c r="L336" s="98">
        <f>IF(I336="","",IF(J336="高",IF(K336="删除",I336*'模板使用说明&amp;基础参数'!$E$5*'模板使用说明&amp;基础参数'!$E$12,IF(K336="修改",I336*'模板使用说明&amp;基础参数'!$E$5*'模板使用说明&amp;基础参数'!$E$11,I336*'模板使用说明&amp;基础参数'!$E$5*'模板使用说明&amp;基础参数'!$E$10)),IF(J336="中",IF(K336="删除",I336*'模板使用说明&amp;基础参数'!$E$6*'模板使用说明&amp;基础参数'!$E$12,IF(K336="修改",I336*'模板使用说明&amp;基础参数'!$E$6*'模板使用说明&amp;基础参数'!$E$11,I336*'模板使用说明&amp;基础参数'!$E$6*'模板使用说明&amp;基础参数'!$E$10)),IF(K336="删除",I336*'模板使用说明&amp;基础参数'!$E$7*'模板使用说明&amp;基础参数'!$E$12,IF(K336="修改",I336*'模板使用说明&amp;基础参数'!$E$7*'模板使用说明&amp;基础参数'!$E$11,I336*'模板使用说明&amp;基础参数'!$E$7*'模板使用说明&amp;基础参数'!$E$10)))))</f>
        <v>1.86666666666666</v>
      </c>
      <c r="M336" s="95"/>
      <c r="N336" s="99"/>
      <c r="O336" s="100"/>
    </row>
    <row r="337" s="70" customFormat="1" ht="25" customHeight="1" spans="1:15">
      <c r="A337" s="93">
        <v>332</v>
      </c>
      <c r="B337" s="94" t="s">
        <v>72</v>
      </c>
      <c r="C337" s="95" t="s">
        <v>73</v>
      </c>
      <c r="D337" s="95" t="s">
        <v>74</v>
      </c>
      <c r="E337" s="95" t="s">
        <v>74</v>
      </c>
      <c r="F337" s="95" t="s">
        <v>752</v>
      </c>
      <c r="G337" s="95" t="s">
        <v>753</v>
      </c>
      <c r="H337" s="93" t="s">
        <v>81</v>
      </c>
      <c r="I337" s="96">
        <f>IF(H337="ILF",IF($C$1="预估功能点",'模板使用说明&amp;基础参数'!$E$15,7),IF(H337="EIF",IF($C$1="预估功能点",'模板使用说明&amp;基础参数'!$E$16,5),IF(H337="EI",IF($C$1="预估功能点",'模板使用说明&amp;基础参数'!$E$17,'模板使用说明&amp;基础参数'!$E$24),IF(H337="EO",IF($C$1="预估功能点",'模板使用说明&amp;基础参数'!$E$18,'模板使用说明&amp;基础参数'!$E$25),IF(H337="EQ",IF($C$1="预估功能点",'模板使用说明&amp;基础参数'!$E$19,'模板使用说明&amp;基础参数'!$E$26),"")))))</f>
        <v>4</v>
      </c>
      <c r="J337" s="97" t="s">
        <v>38</v>
      </c>
      <c r="K337" s="97" t="s">
        <v>78</v>
      </c>
      <c r="L337" s="98">
        <f>IF(I337="","",IF(J337="高",IF(K337="删除",I337*'模板使用说明&amp;基础参数'!$E$5*'模板使用说明&amp;基础参数'!$E$12,IF(K337="修改",I337*'模板使用说明&amp;基础参数'!$E$5*'模板使用说明&amp;基础参数'!$E$11,I337*'模板使用说明&amp;基础参数'!$E$5*'模板使用说明&amp;基础参数'!$E$10)),IF(J337="中",IF(K337="删除",I337*'模板使用说明&amp;基础参数'!$E$6*'模板使用说明&amp;基础参数'!$E$12,IF(K337="修改",I337*'模板使用说明&amp;基础参数'!$E$6*'模板使用说明&amp;基础参数'!$E$11,I337*'模板使用说明&amp;基础参数'!$E$6*'模板使用说明&amp;基础参数'!$E$10)),IF(K337="删除",I337*'模板使用说明&amp;基础参数'!$E$7*'模板使用说明&amp;基础参数'!$E$12,IF(K337="修改",I337*'模板使用说明&amp;基础参数'!$E$7*'模板使用说明&amp;基础参数'!$E$11,I337*'模板使用说明&amp;基础参数'!$E$7*'模板使用说明&amp;基础参数'!$E$10)))))</f>
        <v>1.06666666666667</v>
      </c>
      <c r="M337" s="95"/>
      <c r="N337" s="99"/>
      <c r="O337" s="100"/>
    </row>
    <row r="338" s="70" customFormat="1" ht="25" customHeight="1" spans="1:15">
      <c r="A338" s="93">
        <v>333</v>
      </c>
      <c r="B338" s="94" t="s">
        <v>72</v>
      </c>
      <c r="C338" s="95" t="s">
        <v>73</v>
      </c>
      <c r="D338" s="95" t="s">
        <v>74</v>
      </c>
      <c r="E338" s="95" t="s">
        <v>74</v>
      </c>
      <c r="F338" s="95" t="s">
        <v>754</v>
      </c>
      <c r="G338" s="95" t="s">
        <v>755</v>
      </c>
      <c r="H338" s="93" t="s">
        <v>84</v>
      </c>
      <c r="I338" s="96">
        <f>IF(H338="ILF",IF($C$1="预估功能点",'模板使用说明&amp;基础参数'!$E$15,7),IF(H338="EIF",IF($C$1="预估功能点",'模板使用说明&amp;基础参数'!$E$16,5),IF(H338="EI",IF($C$1="预估功能点",'模板使用说明&amp;基础参数'!$E$17,'模板使用说明&amp;基础参数'!$E$24),IF(H338="EO",IF($C$1="预估功能点",'模板使用说明&amp;基础参数'!$E$18,'模板使用说明&amp;基础参数'!$E$25),IF(H338="EQ",IF($C$1="预估功能点",'模板使用说明&amp;基础参数'!$E$19,'模板使用说明&amp;基础参数'!$E$26),"")))))</f>
        <v>4</v>
      </c>
      <c r="J338" s="97" t="s">
        <v>38</v>
      </c>
      <c r="K338" s="97" t="s">
        <v>78</v>
      </c>
      <c r="L338" s="98">
        <f>IF(I338="","",IF(J338="高",IF(K338="删除",I338*'模板使用说明&amp;基础参数'!$E$5*'模板使用说明&amp;基础参数'!$E$12,IF(K338="修改",I338*'模板使用说明&amp;基础参数'!$E$5*'模板使用说明&amp;基础参数'!$E$11,I338*'模板使用说明&amp;基础参数'!$E$5*'模板使用说明&amp;基础参数'!$E$10)),IF(J338="中",IF(K338="删除",I338*'模板使用说明&amp;基础参数'!$E$6*'模板使用说明&amp;基础参数'!$E$12,IF(K338="修改",I338*'模板使用说明&amp;基础参数'!$E$6*'模板使用说明&amp;基础参数'!$E$11,I338*'模板使用说明&amp;基础参数'!$E$6*'模板使用说明&amp;基础参数'!$E$10)),IF(K338="删除",I338*'模板使用说明&amp;基础参数'!$E$7*'模板使用说明&amp;基础参数'!$E$12,IF(K338="修改",I338*'模板使用说明&amp;基础参数'!$E$7*'模板使用说明&amp;基础参数'!$E$11,I338*'模板使用说明&amp;基础参数'!$E$7*'模板使用说明&amp;基础参数'!$E$10)))))</f>
        <v>1.06666666666667</v>
      </c>
      <c r="M338" s="95"/>
      <c r="N338" s="99"/>
      <c r="O338" s="100"/>
    </row>
    <row r="339" s="70" customFormat="1" ht="25" customHeight="1" spans="1:15">
      <c r="A339" s="93">
        <v>334</v>
      </c>
      <c r="B339" s="94" t="s">
        <v>72</v>
      </c>
      <c r="C339" s="95" t="s">
        <v>73</v>
      </c>
      <c r="D339" s="95" t="s">
        <v>74</v>
      </c>
      <c r="E339" s="95" t="s">
        <v>74</v>
      </c>
      <c r="F339" s="95" t="s">
        <v>756</v>
      </c>
      <c r="G339" s="95" t="s">
        <v>757</v>
      </c>
      <c r="H339" s="93" t="s">
        <v>84</v>
      </c>
      <c r="I339" s="96">
        <f>IF(H339="ILF",IF($C$1="预估功能点",'模板使用说明&amp;基础参数'!$E$15,7),IF(H339="EIF",IF($C$1="预估功能点",'模板使用说明&amp;基础参数'!$E$16,5),IF(H339="EI",IF($C$1="预估功能点",'模板使用说明&amp;基础参数'!$E$17,'模板使用说明&amp;基础参数'!$E$24),IF(H339="EO",IF($C$1="预估功能点",'模板使用说明&amp;基础参数'!$E$18,'模板使用说明&amp;基础参数'!$E$25),IF(H339="EQ",IF($C$1="预估功能点",'模板使用说明&amp;基础参数'!$E$19,'模板使用说明&amp;基础参数'!$E$26),"")))))</f>
        <v>4</v>
      </c>
      <c r="J339" s="97" t="s">
        <v>38</v>
      </c>
      <c r="K339" s="97" t="s">
        <v>78</v>
      </c>
      <c r="L339" s="98">
        <f>IF(I339="","",IF(J339="高",IF(K339="删除",I339*'模板使用说明&amp;基础参数'!$E$5*'模板使用说明&amp;基础参数'!$E$12,IF(K339="修改",I339*'模板使用说明&amp;基础参数'!$E$5*'模板使用说明&amp;基础参数'!$E$11,I339*'模板使用说明&amp;基础参数'!$E$5*'模板使用说明&amp;基础参数'!$E$10)),IF(J339="中",IF(K339="删除",I339*'模板使用说明&amp;基础参数'!$E$6*'模板使用说明&amp;基础参数'!$E$12,IF(K339="修改",I339*'模板使用说明&amp;基础参数'!$E$6*'模板使用说明&amp;基础参数'!$E$11,I339*'模板使用说明&amp;基础参数'!$E$6*'模板使用说明&amp;基础参数'!$E$10)),IF(K339="删除",I339*'模板使用说明&amp;基础参数'!$E$7*'模板使用说明&amp;基础参数'!$E$12,IF(K339="修改",I339*'模板使用说明&amp;基础参数'!$E$7*'模板使用说明&amp;基础参数'!$E$11,I339*'模板使用说明&amp;基础参数'!$E$7*'模板使用说明&amp;基础参数'!$E$10)))))</f>
        <v>1.06666666666667</v>
      </c>
      <c r="M339" s="95"/>
      <c r="N339" s="99"/>
      <c r="O339" s="100"/>
    </row>
    <row r="340" s="70" customFormat="1" ht="25" customHeight="1" spans="1:15">
      <c r="A340" s="93">
        <v>335</v>
      </c>
      <c r="B340" s="94" t="s">
        <v>72</v>
      </c>
      <c r="C340" s="95" t="s">
        <v>73</v>
      </c>
      <c r="D340" s="95" t="s">
        <v>74</v>
      </c>
      <c r="E340" s="95" t="s">
        <v>74</v>
      </c>
      <c r="F340" s="95" t="s">
        <v>758</v>
      </c>
      <c r="G340" s="95" t="s">
        <v>759</v>
      </c>
      <c r="H340" s="93" t="s">
        <v>84</v>
      </c>
      <c r="I340" s="96">
        <f>IF(H340="ILF",IF($C$1="预估功能点",'模板使用说明&amp;基础参数'!$E$15,7),IF(H340="EIF",IF($C$1="预估功能点",'模板使用说明&amp;基础参数'!$E$16,5),IF(H340="EI",IF($C$1="预估功能点",'模板使用说明&amp;基础参数'!$E$17,'模板使用说明&amp;基础参数'!$E$24),IF(H340="EO",IF($C$1="预估功能点",'模板使用说明&amp;基础参数'!$E$18,'模板使用说明&amp;基础参数'!$E$25),IF(H340="EQ",IF($C$1="预估功能点",'模板使用说明&amp;基础参数'!$E$19,'模板使用说明&amp;基础参数'!$E$26),"")))))</f>
        <v>4</v>
      </c>
      <c r="J340" s="97" t="s">
        <v>38</v>
      </c>
      <c r="K340" s="97" t="s">
        <v>78</v>
      </c>
      <c r="L340" s="98">
        <f>IF(I340="","",IF(J340="高",IF(K340="删除",I340*'模板使用说明&amp;基础参数'!$E$5*'模板使用说明&amp;基础参数'!$E$12,IF(K340="修改",I340*'模板使用说明&amp;基础参数'!$E$5*'模板使用说明&amp;基础参数'!$E$11,I340*'模板使用说明&amp;基础参数'!$E$5*'模板使用说明&amp;基础参数'!$E$10)),IF(J340="中",IF(K340="删除",I340*'模板使用说明&amp;基础参数'!$E$6*'模板使用说明&amp;基础参数'!$E$12,IF(K340="修改",I340*'模板使用说明&amp;基础参数'!$E$6*'模板使用说明&amp;基础参数'!$E$11,I340*'模板使用说明&amp;基础参数'!$E$6*'模板使用说明&amp;基础参数'!$E$10)),IF(K340="删除",I340*'模板使用说明&amp;基础参数'!$E$7*'模板使用说明&amp;基础参数'!$E$12,IF(K340="修改",I340*'模板使用说明&amp;基础参数'!$E$7*'模板使用说明&amp;基础参数'!$E$11,I340*'模板使用说明&amp;基础参数'!$E$7*'模板使用说明&amp;基础参数'!$E$10)))))</f>
        <v>1.06666666666667</v>
      </c>
      <c r="M340" s="95"/>
      <c r="N340" s="99"/>
      <c r="O340" s="100"/>
    </row>
    <row r="341" s="70" customFormat="1" ht="25" customHeight="1" spans="1:15">
      <c r="A341" s="93">
        <v>336</v>
      </c>
      <c r="B341" s="94" t="s">
        <v>72</v>
      </c>
      <c r="C341" s="95" t="s">
        <v>73</v>
      </c>
      <c r="D341" s="95" t="s">
        <v>74</v>
      </c>
      <c r="E341" s="95" t="s">
        <v>74</v>
      </c>
      <c r="F341" s="95" t="s">
        <v>760</v>
      </c>
      <c r="G341" s="95" t="s">
        <v>761</v>
      </c>
      <c r="H341" s="93" t="s">
        <v>77</v>
      </c>
      <c r="I341" s="96">
        <f>IF(H341="ILF",IF($C$1="预估功能点",'模板使用说明&amp;基础参数'!$E$15,7),IF(H341="EIF",IF($C$1="预估功能点",'模板使用说明&amp;基础参数'!$E$16,5),IF(H341="EI",IF($C$1="预估功能点",'模板使用说明&amp;基础参数'!$E$17,'模板使用说明&amp;基础参数'!$E$24),IF(H341="EO",IF($C$1="预估功能点",'模板使用说明&amp;基础参数'!$E$18,'模板使用说明&amp;基础参数'!$E$25),IF(H341="EQ",IF($C$1="预估功能点",'模板使用说明&amp;基础参数'!$E$19,'模板使用说明&amp;基础参数'!$E$26),"")))))</f>
        <v>7</v>
      </c>
      <c r="J341" s="97" t="s">
        <v>38</v>
      </c>
      <c r="K341" s="97" t="s">
        <v>78</v>
      </c>
      <c r="L341" s="98">
        <f>IF(I341="","",IF(J341="高",IF(K341="删除",I341*'模板使用说明&amp;基础参数'!$E$5*'模板使用说明&amp;基础参数'!$E$12,IF(K341="修改",I341*'模板使用说明&amp;基础参数'!$E$5*'模板使用说明&amp;基础参数'!$E$11,I341*'模板使用说明&amp;基础参数'!$E$5*'模板使用说明&amp;基础参数'!$E$10)),IF(J341="中",IF(K341="删除",I341*'模板使用说明&amp;基础参数'!$E$6*'模板使用说明&amp;基础参数'!$E$12,IF(K341="修改",I341*'模板使用说明&amp;基础参数'!$E$6*'模板使用说明&amp;基础参数'!$E$11,I341*'模板使用说明&amp;基础参数'!$E$6*'模板使用说明&amp;基础参数'!$E$10)),IF(K341="删除",I341*'模板使用说明&amp;基础参数'!$E$7*'模板使用说明&amp;基础参数'!$E$12,IF(K341="修改",I341*'模板使用说明&amp;基础参数'!$E$7*'模板使用说明&amp;基础参数'!$E$11,I341*'模板使用说明&amp;基础参数'!$E$7*'模板使用说明&amp;基础参数'!$E$10)))))</f>
        <v>1.86666666666666</v>
      </c>
      <c r="M341" s="95"/>
      <c r="N341" s="99"/>
      <c r="O341" s="100"/>
    </row>
    <row r="342" s="70" customFormat="1" ht="25" customHeight="1" spans="1:15">
      <c r="A342" s="93">
        <v>337</v>
      </c>
      <c r="B342" s="94" t="s">
        <v>72</v>
      </c>
      <c r="C342" s="95" t="s">
        <v>73</v>
      </c>
      <c r="D342" s="95" t="s">
        <v>74</v>
      </c>
      <c r="E342" s="95" t="s">
        <v>74</v>
      </c>
      <c r="F342" s="95" t="s">
        <v>762</v>
      </c>
      <c r="G342" s="95" t="s">
        <v>763</v>
      </c>
      <c r="H342" s="93" t="s">
        <v>81</v>
      </c>
      <c r="I342" s="96">
        <f>IF(H342="ILF",IF($C$1="预估功能点",'模板使用说明&amp;基础参数'!$E$15,7),IF(H342="EIF",IF($C$1="预估功能点",'模板使用说明&amp;基础参数'!$E$16,5),IF(H342="EI",IF($C$1="预估功能点",'模板使用说明&amp;基础参数'!$E$17,'模板使用说明&amp;基础参数'!$E$24),IF(H342="EO",IF($C$1="预估功能点",'模板使用说明&amp;基础参数'!$E$18,'模板使用说明&amp;基础参数'!$E$25),IF(H342="EQ",IF($C$1="预估功能点",'模板使用说明&amp;基础参数'!$E$19,'模板使用说明&amp;基础参数'!$E$26),"")))))</f>
        <v>4</v>
      </c>
      <c r="J342" s="97" t="s">
        <v>38</v>
      </c>
      <c r="K342" s="97" t="s">
        <v>78</v>
      </c>
      <c r="L342" s="98">
        <f>IF(I342="","",IF(J342="高",IF(K342="删除",I342*'模板使用说明&amp;基础参数'!$E$5*'模板使用说明&amp;基础参数'!$E$12,IF(K342="修改",I342*'模板使用说明&amp;基础参数'!$E$5*'模板使用说明&amp;基础参数'!$E$11,I342*'模板使用说明&amp;基础参数'!$E$5*'模板使用说明&amp;基础参数'!$E$10)),IF(J342="中",IF(K342="删除",I342*'模板使用说明&amp;基础参数'!$E$6*'模板使用说明&amp;基础参数'!$E$12,IF(K342="修改",I342*'模板使用说明&amp;基础参数'!$E$6*'模板使用说明&amp;基础参数'!$E$11,I342*'模板使用说明&amp;基础参数'!$E$6*'模板使用说明&amp;基础参数'!$E$10)),IF(K342="删除",I342*'模板使用说明&amp;基础参数'!$E$7*'模板使用说明&amp;基础参数'!$E$12,IF(K342="修改",I342*'模板使用说明&amp;基础参数'!$E$7*'模板使用说明&amp;基础参数'!$E$11,I342*'模板使用说明&amp;基础参数'!$E$7*'模板使用说明&amp;基础参数'!$E$10)))))</f>
        <v>1.06666666666667</v>
      </c>
      <c r="M342" s="95"/>
      <c r="N342" s="99"/>
      <c r="O342" s="100"/>
    </row>
    <row r="343" s="70" customFormat="1" ht="25" customHeight="1" spans="1:15">
      <c r="A343" s="93">
        <v>338</v>
      </c>
      <c r="B343" s="94" t="s">
        <v>72</v>
      </c>
      <c r="C343" s="95" t="s">
        <v>73</v>
      </c>
      <c r="D343" s="95" t="s">
        <v>74</v>
      </c>
      <c r="E343" s="95" t="s">
        <v>74</v>
      </c>
      <c r="F343" s="95" t="s">
        <v>764</v>
      </c>
      <c r="G343" s="95" t="s">
        <v>765</v>
      </c>
      <c r="H343" s="93" t="s">
        <v>84</v>
      </c>
      <c r="I343" s="96">
        <f>IF(H343="ILF",IF($C$1="预估功能点",'模板使用说明&amp;基础参数'!$E$15,7),IF(H343="EIF",IF($C$1="预估功能点",'模板使用说明&amp;基础参数'!$E$16,5),IF(H343="EI",IF($C$1="预估功能点",'模板使用说明&amp;基础参数'!$E$17,'模板使用说明&amp;基础参数'!$E$24),IF(H343="EO",IF($C$1="预估功能点",'模板使用说明&amp;基础参数'!$E$18,'模板使用说明&amp;基础参数'!$E$25),IF(H343="EQ",IF($C$1="预估功能点",'模板使用说明&amp;基础参数'!$E$19,'模板使用说明&amp;基础参数'!$E$26),"")))))</f>
        <v>4</v>
      </c>
      <c r="J343" s="97" t="s">
        <v>38</v>
      </c>
      <c r="K343" s="97" t="s">
        <v>78</v>
      </c>
      <c r="L343" s="98">
        <f>IF(I343="","",IF(J343="高",IF(K343="删除",I343*'模板使用说明&amp;基础参数'!$E$5*'模板使用说明&amp;基础参数'!$E$12,IF(K343="修改",I343*'模板使用说明&amp;基础参数'!$E$5*'模板使用说明&amp;基础参数'!$E$11,I343*'模板使用说明&amp;基础参数'!$E$5*'模板使用说明&amp;基础参数'!$E$10)),IF(J343="中",IF(K343="删除",I343*'模板使用说明&amp;基础参数'!$E$6*'模板使用说明&amp;基础参数'!$E$12,IF(K343="修改",I343*'模板使用说明&amp;基础参数'!$E$6*'模板使用说明&amp;基础参数'!$E$11,I343*'模板使用说明&amp;基础参数'!$E$6*'模板使用说明&amp;基础参数'!$E$10)),IF(K343="删除",I343*'模板使用说明&amp;基础参数'!$E$7*'模板使用说明&amp;基础参数'!$E$12,IF(K343="修改",I343*'模板使用说明&amp;基础参数'!$E$7*'模板使用说明&amp;基础参数'!$E$11,I343*'模板使用说明&amp;基础参数'!$E$7*'模板使用说明&amp;基础参数'!$E$10)))))</f>
        <v>1.06666666666667</v>
      </c>
      <c r="M343" s="95"/>
      <c r="N343" s="99"/>
      <c r="O343" s="100"/>
    </row>
    <row r="344" s="70" customFormat="1" ht="25" customHeight="1" spans="1:15">
      <c r="A344" s="93">
        <v>339</v>
      </c>
      <c r="B344" s="94" t="s">
        <v>72</v>
      </c>
      <c r="C344" s="95" t="s">
        <v>73</v>
      </c>
      <c r="D344" s="95" t="s">
        <v>74</v>
      </c>
      <c r="E344" s="95" t="s">
        <v>74</v>
      </c>
      <c r="F344" s="95" t="s">
        <v>766</v>
      </c>
      <c r="G344" s="95" t="s">
        <v>767</v>
      </c>
      <c r="H344" s="93" t="s">
        <v>84</v>
      </c>
      <c r="I344" s="96">
        <f>IF(H344="ILF",IF($C$1="预估功能点",'模板使用说明&amp;基础参数'!$E$15,7),IF(H344="EIF",IF($C$1="预估功能点",'模板使用说明&amp;基础参数'!$E$16,5),IF(H344="EI",IF($C$1="预估功能点",'模板使用说明&amp;基础参数'!$E$17,'模板使用说明&amp;基础参数'!$E$24),IF(H344="EO",IF($C$1="预估功能点",'模板使用说明&amp;基础参数'!$E$18,'模板使用说明&amp;基础参数'!$E$25),IF(H344="EQ",IF($C$1="预估功能点",'模板使用说明&amp;基础参数'!$E$19,'模板使用说明&amp;基础参数'!$E$26),"")))))</f>
        <v>4</v>
      </c>
      <c r="J344" s="97" t="s">
        <v>38</v>
      </c>
      <c r="K344" s="97" t="s">
        <v>78</v>
      </c>
      <c r="L344" s="98">
        <f>IF(I344="","",IF(J344="高",IF(K344="删除",I344*'模板使用说明&amp;基础参数'!$E$5*'模板使用说明&amp;基础参数'!$E$12,IF(K344="修改",I344*'模板使用说明&amp;基础参数'!$E$5*'模板使用说明&amp;基础参数'!$E$11,I344*'模板使用说明&amp;基础参数'!$E$5*'模板使用说明&amp;基础参数'!$E$10)),IF(J344="中",IF(K344="删除",I344*'模板使用说明&amp;基础参数'!$E$6*'模板使用说明&amp;基础参数'!$E$12,IF(K344="修改",I344*'模板使用说明&amp;基础参数'!$E$6*'模板使用说明&amp;基础参数'!$E$11,I344*'模板使用说明&amp;基础参数'!$E$6*'模板使用说明&amp;基础参数'!$E$10)),IF(K344="删除",I344*'模板使用说明&amp;基础参数'!$E$7*'模板使用说明&amp;基础参数'!$E$12,IF(K344="修改",I344*'模板使用说明&amp;基础参数'!$E$7*'模板使用说明&amp;基础参数'!$E$11,I344*'模板使用说明&amp;基础参数'!$E$7*'模板使用说明&amp;基础参数'!$E$10)))))</f>
        <v>1.06666666666667</v>
      </c>
      <c r="M344" s="95"/>
      <c r="N344" s="99"/>
      <c r="O344" s="100"/>
    </row>
    <row r="345" s="70" customFormat="1" ht="25" customHeight="1" spans="1:15">
      <c r="A345" s="93">
        <v>340</v>
      </c>
      <c r="B345" s="94" t="s">
        <v>72</v>
      </c>
      <c r="C345" s="95" t="s">
        <v>73</v>
      </c>
      <c r="D345" s="95" t="s">
        <v>74</v>
      </c>
      <c r="E345" s="95" t="s">
        <v>74</v>
      </c>
      <c r="F345" s="95" t="s">
        <v>768</v>
      </c>
      <c r="G345" s="95" t="s">
        <v>769</v>
      </c>
      <c r="H345" s="93" t="s">
        <v>84</v>
      </c>
      <c r="I345" s="96">
        <f>IF(H345="ILF",IF($C$1="预估功能点",'模板使用说明&amp;基础参数'!$E$15,7),IF(H345="EIF",IF($C$1="预估功能点",'模板使用说明&amp;基础参数'!$E$16,5),IF(H345="EI",IF($C$1="预估功能点",'模板使用说明&amp;基础参数'!$E$17,'模板使用说明&amp;基础参数'!$E$24),IF(H345="EO",IF($C$1="预估功能点",'模板使用说明&amp;基础参数'!$E$18,'模板使用说明&amp;基础参数'!$E$25),IF(H345="EQ",IF($C$1="预估功能点",'模板使用说明&amp;基础参数'!$E$19,'模板使用说明&amp;基础参数'!$E$26),"")))))</f>
        <v>4</v>
      </c>
      <c r="J345" s="97" t="s">
        <v>38</v>
      </c>
      <c r="K345" s="97" t="s">
        <v>78</v>
      </c>
      <c r="L345" s="98">
        <f>IF(I345="","",IF(J345="高",IF(K345="删除",I345*'模板使用说明&amp;基础参数'!$E$5*'模板使用说明&amp;基础参数'!$E$12,IF(K345="修改",I345*'模板使用说明&amp;基础参数'!$E$5*'模板使用说明&amp;基础参数'!$E$11,I345*'模板使用说明&amp;基础参数'!$E$5*'模板使用说明&amp;基础参数'!$E$10)),IF(J345="中",IF(K345="删除",I345*'模板使用说明&amp;基础参数'!$E$6*'模板使用说明&amp;基础参数'!$E$12,IF(K345="修改",I345*'模板使用说明&amp;基础参数'!$E$6*'模板使用说明&amp;基础参数'!$E$11,I345*'模板使用说明&amp;基础参数'!$E$6*'模板使用说明&amp;基础参数'!$E$10)),IF(K345="删除",I345*'模板使用说明&amp;基础参数'!$E$7*'模板使用说明&amp;基础参数'!$E$12,IF(K345="修改",I345*'模板使用说明&amp;基础参数'!$E$7*'模板使用说明&amp;基础参数'!$E$11,I345*'模板使用说明&amp;基础参数'!$E$7*'模板使用说明&amp;基础参数'!$E$10)))))</f>
        <v>1.06666666666667</v>
      </c>
      <c r="M345" s="95"/>
      <c r="N345" s="99"/>
      <c r="O345" s="100"/>
    </row>
    <row r="346" s="70" customFormat="1" ht="25" customHeight="1" spans="1:15">
      <c r="A346" s="93">
        <v>341</v>
      </c>
      <c r="B346" s="94" t="s">
        <v>72</v>
      </c>
      <c r="C346" s="95" t="s">
        <v>129</v>
      </c>
      <c r="D346" s="95" t="s">
        <v>130</v>
      </c>
      <c r="E346" s="95" t="s">
        <v>130</v>
      </c>
      <c r="F346" s="95" t="s">
        <v>770</v>
      </c>
      <c r="G346" s="95" t="s">
        <v>771</v>
      </c>
      <c r="H346" s="93" t="s">
        <v>77</v>
      </c>
      <c r="I346" s="96">
        <f>IF(H346="ILF",IF($C$1="预估功能点",'模板使用说明&amp;基础参数'!$E$15,7),IF(H346="EIF",IF($C$1="预估功能点",'模板使用说明&amp;基础参数'!$E$16,5),IF(H346="EI",IF($C$1="预估功能点",'模板使用说明&amp;基础参数'!$E$17,'模板使用说明&amp;基础参数'!$E$24),IF(H346="EO",IF($C$1="预估功能点",'模板使用说明&amp;基础参数'!$E$18,'模板使用说明&amp;基础参数'!$E$25),IF(H346="EQ",IF($C$1="预估功能点",'模板使用说明&amp;基础参数'!$E$19,'模板使用说明&amp;基础参数'!$E$26),"")))))</f>
        <v>7</v>
      </c>
      <c r="J346" s="97" t="s">
        <v>38</v>
      </c>
      <c r="K346" s="97" t="s">
        <v>78</v>
      </c>
      <c r="L346" s="98">
        <f>IF(I346="","",IF(J346="高",IF(K346="删除",I346*'模板使用说明&amp;基础参数'!$E$5*'模板使用说明&amp;基础参数'!$E$12,IF(K346="修改",I346*'模板使用说明&amp;基础参数'!$E$5*'模板使用说明&amp;基础参数'!$E$11,I346*'模板使用说明&amp;基础参数'!$E$5*'模板使用说明&amp;基础参数'!$E$10)),IF(J346="中",IF(K346="删除",I346*'模板使用说明&amp;基础参数'!$E$6*'模板使用说明&amp;基础参数'!$E$12,IF(K346="修改",I346*'模板使用说明&amp;基础参数'!$E$6*'模板使用说明&amp;基础参数'!$E$11,I346*'模板使用说明&amp;基础参数'!$E$6*'模板使用说明&amp;基础参数'!$E$10)),IF(K346="删除",I346*'模板使用说明&amp;基础参数'!$E$7*'模板使用说明&amp;基础参数'!$E$12,IF(K346="修改",I346*'模板使用说明&amp;基础参数'!$E$7*'模板使用说明&amp;基础参数'!$E$11,I346*'模板使用说明&amp;基础参数'!$E$7*'模板使用说明&amp;基础参数'!$E$10)))))</f>
        <v>1.86666666666666</v>
      </c>
      <c r="M346" s="95"/>
      <c r="N346" s="99"/>
      <c r="O346" s="100"/>
    </row>
    <row r="347" s="70" customFormat="1" ht="25" customHeight="1" spans="1:15">
      <c r="A347" s="93">
        <v>342</v>
      </c>
      <c r="B347" s="94" t="s">
        <v>72</v>
      </c>
      <c r="C347" s="95" t="s">
        <v>129</v>
      </c>
      <c r="D347" s="95" t="s">
        <v>130</v>
      </c>
      <c r="E347" s="95" t="s">
        <v>130</v>
      </c>
      <c r="F347" s="95" t="s">
        <v>772</v>
      </c>
      <c r="G347" s="95" t="s">
        <v>773</v>
      </c>
      <c r="H347" s="93" t="s">
        <v>135</v>
      </c>
      <c r="I347" s="96">
        <f>IF(H347="ILF",IF($C$1="预估功能点",'模板使用说明&amp;基础参数'!$E$15,7),IF(H347="EIF",IF($C$1="预估功能点",'模板使用说明&amp;基础参数'!$E$16,5),IF(H347="EI",IF($C$1="预估功能点",'模板使用说明&amp;基础参数'!$E$17,'模板使用说明&amp;基础参数'!$E$24),IF(H347="EO",IF($C$1="预估功能点",'模板使用说明&amp;基础参数'!$E$18,'模板使用说明&amp;基础参数'!$E$25),IF(H347="EQ",IF($C$1="预估功能点",'模板使用说明&amp;基础参数'!$E$19,'模板使用说明&amp;基础参数'!$E$26),"")))))</f>
        <v>5</v>
      </c>
      <c r="J347" s="97" t="s">
        <v>38</v>
      </c>
      <c r="K347" s="97" t="s">
        <v>78</v>
      </c>
      <c r="L347" s="98">
        <f>IF(I347="","",IF(J347="高",IF(K347="删除",I347*'模板使用说明&amp;基础参数'!$E$5*'模板使用说明&amp;基础参数'!$E$12,IF(K347="修改",I347*'模板使用说明&amp;基础参数'!$E$5*'模板使用说明&amp;基础参数'!$E$11,I347*'模板使用说明&amp;基础参数'!$E$5*'模板使用说明&amp;基础参数'!$E$10)),IF(J347="中",IF(K347="删除",I347*'模板使用说明&amp;基础参数'!$E$6*'模板使用说明&amp;基础参数'!$E$12,IF(K347="修改",I347*'模板使用说明&amp;基础参数'!$E$6*'模板使用说明&amp;基础参数'!$E$11,I347*'模板使用说明&amp;基础参数'!$E$6*'模板使用说明&amp;基础参数'!$E$10)),IF(K347="删除",I347*'模板使用说明&amp;基础参数'!$E$7*'模板使用说明&amp;基础参数'!$E$12,IF(K347="修改",I347*'模板使用说明&amp;基础参数'!$E$7*'模板使用说明&amp;基础参数'!$E$11,I347*'模板使用说明&amp;基础参数'!$E$7*'模板使用说明&amp;基础参数'!$E$10)))))</f>
        <v>1.33333333333333</v>
      </c>
      <c r="M347" s="95"/>
      <c r="N347" s="99"/>
      <c r="O347" s="100"/>
    </row>
    <row r="348" s="70" customFormat="1" ht="25" customHeight="1" spans="1:15">
      <c r="A348" s="93">
        <v>343</v>
      </c>
      <c r="B348" s="94" t="s">
        <v>72</v>
      </c>
      <c r="C348" s="95" t="s">
        <v>129</v>
      </c>
      <c r="D348" s="95" t="s">
        <v>130</v>
      </c>
      <c r="E348" s="95" t="s">
        <v>130</v>
      </c>
      <c r="F348" s="95" t="s">
        <v>774</v>
      </c>
      <c r="G348" s="95" t="s">
        <v>775</v>
      </c>
      <c r="H348" s="93" t="s">
        <v>81</v>
      </c>
      <c r="I348" s="96">
        <f>IF(H348="ILF",IF($C$1="预估功能点",'模板使用说明&amp;基础参数'!$E$15,7),IF(H348="EIF",IF($C$1="预估功能点",'模板使用说明&amp;基础参数'!$E$16,5),IF(H348="EI",IF($C$1="预估功能点",'模板使用说明&amp;基础参数'!$E$17,'模板使用说明&amp;基础参数'!$E$24),IF(H348="EO",IF($C$1="预估功能点",'模板使用说明&amp;基础参数'!$E$18,'模板使用说明&amp;基础参数'!$E$25),IF(H348="EQ",IF($C$1="预估功能点",'模板使用说明&amp;基础参数'!$E$19,'模板使用说明&amp;基础参数'!$E$26),"")))))</f>
        <v>4</v>
      </c>
      <c r="J348" s="97" t="s">
        <v>38</v>
      </c>
      <c r="K348" s="97" t="s">
        <v>78</v>
      </c>
      <c r="L348" s="98">
        <f>IF(I348="","",IF(J348="高",IF(K348="删除",I348*'模板使用说明&amp;基础参数'!$E$5*'模板使用说明&amp;基础参数'!$E$12,IF(K348="修改",I348*'模板使用说明&amp;基础参数'!$E$5*'模板使用说明&amp;基础参数'!$E$11,I348*'模板使用说明&amp;基础参数'!$E$5*'模板使用说明&amp;基础参数'!$E$10)),IF(J348="中",IF(K348="删除",I348*'模板使用说明&amp;基础参数'!$E$6*'模板使用说明&amp;基础参数'!$E$12,IF(K348="修改",I348*'模板使用说明&amp;基础参数'!$E$6*'模板使用说明&amp;基础参数'!$E$11,I348*'模板使用说明&amp;基础参数'!$E$6*'模板使用说明&amp;基础参数'!$E$10)),IF(K348="删除",I348*'模板使用说明&amp;基础参数'!$E$7*'模板使用说明&amp;基础参数'!$E$12,IF(K348="修改",I348*'模板使用说明&amp;基础参数'!$E$7*'模板使用说明&amp;基础参数'!$E$11,I348*'模板使用说明&amp;基础参数'!$E$7*'模板使用说明&amp;基础参数'!$E$10)))))</f>
        <v>1.06666666666667</v>
      </c>
      <c r="M348" s="95"/>
      <c r="N348" s="99"/>
      <c r="O348" s="100"/>
    </row>
    <row r="349" s="70" customFormat="1" ht="25" customHeight="1" spans="1:15">
      <c r="A349" s="93">
        <v>344</v>
      </c>
      <c r="B349" s="94" t="s">
        <v>72</v>
      </c>
      <c r="C349" s="95" t="s">
        <v>129</v>
      </c>
      <c r="D349" s="95" t="s">
        <v>130</v>
      </c>
      <c r="E349" s="95" t="s">
        <v>130</v>
      </c>
      <c r="F349" s="95" t="s">
        <v>776</v>
      </c>
      <c r="G349" s="95" t="s">
        <v>777</v>
      </c>
      <c r="H349" s="93" t="s">
        <v>84</v>
      </c>
      <c r="I349" s="96">
        <f>IF(H349="ILF",IF($C$1="预估功能点",'模板使用说明&amp;基础参数'!$E$15,7),IF(H349="EIF",IF($C$1="预估功能点",'模板使用说明&amp;基础参数'!$E$16,5),IF(H349="EI",IF($C$1="预估功能点",'模板使用说明&amp;基础参数'!$E$17,'模板使用说明&amp;基础参数'!$E$24),IF(H349="EO",IF($C$1="预估功能点",'模板使用说明&amp;基础参数'!$E$18,'模板使用说明&amp;基础参数'!$E$25),IF(H349="EQ",IF($C$1="预估功能点",'模板使用说明&amp;基础参数'!$E$19,'模板使用说明&amp;基础参数'!$E$26),"")))))</f>
        <v>4</v>
      </c>
      <c r="J349" s="97" t="s">
        <v>38</v>
      </c>
      <c r="K349" s="97" t="s">
        <v>78</v>
      </c>
      <c r="L349" s="98">
        <f>IF(I349="","",IF(J349="高",IF(K349="删除",I349*'模板使用说明&amp;基础参数'!$E$5*'模板使用说明&amp;基础参数'!$E$12,IF(K349="修改",I349*'模板使用说明&amp;基础参数'!$E$5*'模板使用说明&amp;基础参数'!$E$11,I349*'模板使用说明&amp;基础参数'!$E$5*'模板使用说明&amp;基础参数'!$E$10)),IF(J349="中",IF(K349="删除",I349*'模板使用说明&amp;基础参数'!$E$6*'模板使用说明&amp;基础参数'!$E$12,IF(K349="修改",I349*'模板使用说明&amp;基础参数'!$E$6*'模板使用说明&amp;基础参数'!$E$11,I349*'模板使用说明&amp;基础参数'!$E$6*'模板使用说明&amp;基础参数'!$E$10)),IF(K349="删除",I349*'模板使用说明&amp;基础参数'!$E$7*'模板使用说明&amp;基础参数'!$E$12,IF(K349="修改",I349*'模板使用说明&amp;基础参数'!$E$7*'模板使用说明&amp;基础参数'!$E$11,I349*'模板使用说明&amp;基础参数'!$E$7*'模板使用说明&amp;基础参数'!$E$10)))))</f>
        <v>1.06666666666667</v>
      </c>
      <c r="M349" s="95"/>
      <c r="N349" s="99"/>
      <c r="O349" s="100"/>
    </row>
    <row r="350" s="70" customFormat="1" ht="25" customHeight="1" spans="1:15">
      <c r="A350" s="93">
        <v>345</v>
      </c>
      <c r="B350" s="94" t="s">
        <v>72</v>
      </c>
      <c r="C350" s="95" t="s">
        <v>129</v>
      </c>
      <c r="D350" s="95" t="s">
        <v>130</v>
      </c>
      <c r="E350" s="95" t="s">
        <v>130</v>
      </c>
      <c r="F350" s="95" t="s">
        <v>778</v>
      </c>
      <c r="G350" s="95" t="s">
        <v>779</v>
      </c>
      <c r="H350" s="93" t="s">
        <v>84</v>
      </c>
      <c r="I350" s="96">
        <f>IF(H350="ILF",IF($C$1="预估功能点",'模板使用说明&amp;基础参数'!$E$15,7),IF(H350="EIF",IF($C$1="预估功能点",'模板使用说明&amp;基础参数'!$E$16,5),IF(H350="EI",IF($C$1="预估功能点",'模板使用说明&amp;基础参数'!$E$17,'模板使用说明&amp;基础参数'!$E$24),IF(H350="EO",IF($C$1="预估功能点",'模板使用说明&amp;基础参数'!$E$18,'模板使用说明&amp;基础参数'!$E$25),IF(H350="EQ",IF($C$1="预估功能点",'模板使用说明&amp;基础参数'!$E$19,'模板使用说明&amp;基础参数'!$E$26),"")))))</f>
        <v>4</v>
      </c>
      <c r="J350" s="97" t="s">
        <v>38</v>
      </c>
      <c r="K350" s="97" t="s">
        <v>78</v>
      </c>
      <c r="L350" s="98">
        <f>IF(I350="","",IF(J350="高",IF(K350="删除",I350*'模板使用说明&amp;基础参数'!$E$5*'模板使用说明&amp;基础参数'!$E$12,IF(K350="修改",I350*'模板使用说明&amp;基础参数'!$E$5*'模板使用说明&amp;基础参数'!$E$11,I350*'模板使用说明&amp;基础参数'!$E$5*'模板使用说明&amp;基础参数'!$E$10)),IF(J350="中",IF(K350="删除",I350*'模板使用说明&amp;基础参数'!$E$6*'模板使用说明&amp;基础参数'!$E$12,IF(K350="修改",I350*'模板使用说明&amp;基础参数'!$E$6*'模板使用说明&amp;基础参数'!$E$11,I350*'模板使用说明&amp;基础参数'!$E$6*'模板使用说明&amp;基础参数'!$E$10)),IF(K350="删除",I350*'模板使用说明&amp;基础参数'!$E$7*'模板使用说明&amp;基础参数'!$E$12,IF(K350="修改",I350*'模板使用说明&amp;基础参数'!$E$7*'模板使用说明&amp;基础参数'!$E$11,I350*'模板使用说明&amp;基础参数'!$E$7*'模板使用说明&amp;基础参数'!$E$10)))))</f>
        <v>1.06666666666667</v>
      </c>
      <c r="M350" s="95"/>
      <c r="N350" s="99"/>
      <c r="O350" s="100"/>
    </row>
    <row r="351" s="70" customFormat="1" ht="25" customHeight="1" spans="1:15">
      <c r="A351" s="93">
        <v>346</v>
      </c>
      <c r="B351" s="94" t="s">
        <v>72</v>
      </c>
      <c r="C351" s="95" t="s">
        <v>129</v>
      </c>
      <c r="D351" s="95" t="s">
        <v>130</v>
      </c>
      <c r="E351" s="95" t="s">
        <v>130</v>
      </c>
      <c r="F351" s="95" t="s">
        <v>780</v>
      </c>
      <c r="G351" s="95" t="s">
        <v>781</v>
      </c>
      <c r="H351" s="93" t="s">
        <v>84</v>
      </c>
      <c r="I351" s="96">
        <f>IF(H351="ILF",IF($C$1="预估功能点",'模板使用说明&amp;基础参数'!$E$15,7),IF(H351="EIF",IF($C$1="预估功能点",'模板使用说明&amp;基础参数'!$E$16,5),IF(H351="EI",IF($C$1="预估功能点",'模板使用说明&amp;基础参数'!$E$17,'模板使用说明&amp;基础参数'!$E$24),IF(H351="EO",IF($C$1="预估功能点",'模板使用说明&amp;基础参数'!$E$18,'模板使用说明&amp;基础参数'!$E$25),IF(H351="EQ",IF($C$1="预估功能点",'模板使用说明&amp;基础参数'!$E$19,'模板使用说明&amp;基础参数'!$E$26),"")))))</f>
        <v>4</v>
      </c>
      <c r="J351" s="97" t="s">
        <v>38</v>
      </c>
      <c r="K351" s="97" t="s">
        <v>78</v>
      </c>
      <c r="L351" s="98">
        <f>IF(I351="","",IF(J351="高",IF(K351="删除",I351*'模板使用说明&amp;基础参数'!$E$5*'模板使用说明&amp;基础参数'!$E$12,IF(K351="修改",I351*'模板使用说明&amp;基础参数'!$E$5*'模板使用说明&amp;基础参数'!$E$11,I351*'模板使用说明&amp;基础参数'!$E$5*'模板使用说明&amp;基础参数'!$E$10)),IF(J351="中",IF(K351="删除",I351*'模板使用说明&amp;基础参数'!$E$6*'模板使用说明&amp;基础参数'!$E$12,IF(K351="修改",I351*'模板使用说明&amp;基础参数'!$E$6*'模板使用说明&amp;基础参数'!$E$11,I351*'模板使用说明&amp;基础参数'!$E$6*'模板使用说明&amp;基础参数'!$E$10)),IF(K351="删除",I351*'模板使用说明&amp;基础参数'!$E$7*'模板使用说明&amp;基础参数'!$E$12,IF(K351="修改",I351*'模板使用说明&amp;基础参数'!$E$7*'模板使用说明&amp;基础参数'!$E$11,I351*'模板使用说明&amp;基础参数'!$E$7*'模板使用说明&amp;基础参数'!$E$10)))))</f>
        <v>1.06666666666667</v>
      </c>
      <c r="M351" s="95"/>
      <c r="N351" s="99"/>
      <c r="O351" s="100"/>
    </row>
    <row r="352" s="70" customFormat="1" ht="25" customHeight="1" spans="1:15">
      <c r="A352" s="93">
        <v>347</v>
      </c>
      <c r="B352" s="94" t="s">
        <v>72</v>
      </c>
      <c r="C352" s="95" t="s">
        <v>144</v>
      </c>
      <c r="D352" s="95" t="s">
        <v>145</v>
      </c>
      <c r="E352" s="95" t="s">
        <v>145</v>
      </c>
      <c r="F352" s="95" t="s">
        <v>782</v>
      </c>
      <c r="G352" s="95" t="s">
        <v>783</v>
      </c>
      <c r="H352" s="93" t="s">
        <v>77</v>
      </c>
      <c r="I352" s="96">
        <f>IF(H352="ILF",IF($C$1="预估功能点",'模板使用说明&amp;基础参数'!$E$15,7),IF(H352="EIF",IF($C$1="预估功能点",'模板使用说明&amp;基础参数'!$E$16,5),IF(H352="EI",IF($C$1="预估功能点",'模板使用说明&amp;基础参数'!$E$17,'模板使用说明&amp;基础参数'!$E$24),IF(H352="EO",IF($C$1="预估功能点",'模板使用说明&amp;基础参数'!$E$18,'模板使用说明&amp;基础参数'!$E$25),IF(H352="EQ",IF($C$1="预估功能点",'模板使用说明&amp;基础参数'!$E$19,'模板使用说明&amp;基础参数'!$E$26),"")))))</f>
        <v>7</v>
      </c>
      <c r="J352" s="97" t="s">
        <v>38</v>
      </c>
      <c r="K352" s="97" t="s">
        <v>78</v>
      </c>
      <c r="L352" s="98">
        <f>IF(I352="","",IF(J352="高",IF(K352="删除",I352*'模板使用说明&amp;基础参数'!$E$5*'模板使用说明&amp;基础参数'!$E$12,IF(K352="修改",I352*'模板使用说明&amp;基础参数'!$E$5*'模板使用说明&amp;基础参数'!$E$11,I352*'模板使用说明&amp;基础参数'!$E$5*'模板使用说明&amp;基础参数'!$E$10)),IF(J352="中",IF(K352="删除",I352*'模板使用说明&amp;基础参数'!$E$6*'模板使用说明&amp;基础参数'!$E$12,IF(K352="修改",I352*'模板使用说明&amp;基础参数'!$E$6*'模板使用说明&amp;基础参数'!$E$11,I352*'模板使用说明&amp;基础参数'!$E$6*'模板使用说明&amp;基础参数'!$E$10)),IF(K352="删除",I352*'模板使用说明&amp;基础参数'!$E$7*'模板使用说明&amp;基础参数'!$E$12,IF(K352="修改",I352*'模板使用说明&amp;基础参数'!$E$7*'模板使用说明&amp;基础参数'!$E$11,I352*'模板使用说明&amp;基础参数'!$E$7*'模板使用说明&amp;基础参数'!$E$10)))))</f>
        <v>1.86666666666666</v>
      </c>
      <c r="M352" s="95"/>
      <c r="N352" s="99"/>
      <c r="O352" s="100"/>
    </row>
    <row r="353" s="70" customFormat="1" ht="25" customHeight="1" spans="1:15">
      <c r="A353" s="93">
        <v>348</v>
      </c>
      <c r="B353" s="94" t="s">
        <v>72</v>
      </c>
      <c r="C353" s="95" t="s">
        <v>144</v>
      </c>
      <c r="D353" s="95" t="s">
        <v>145</v>
      </c>
      <c r="E353" s="95" t="s">
        <v>145</v>
      </c>
      <c r="F353" s="95" t="s">
        <v>784</v>
      </c>
      <c r="G353" s="95" t="s">
        <v>785</v>
      </c>
      <c r="H353" s="93" t="s">
        <v>81</v>
      </c>
      <c r="I353" s="96">
        <f>IF(H353="ILF",IF($C$1="预估功能点",'模板使用说明&amp;基础参数'!$E$15,7),IF(H353="EIF",IF($C$1="预估功能点",'模板使用说明&amp;基础参数'!$E$16,5),IF(H353="EI",IF($C$1="预估功能点",'模板使用说明&amp;基础参数'!$E$17,'模板使用说明&amp;基础参数'!$E$24),IF(H353="EO",IF($C$1="预估功能点",'模板使用说明&amp;基础参数'!$E$18,'模板使用说明&amp;基础参数'!$E$25),IF(H353="EQ",IF($C$1="预估功能点",'模板使用说明&amp;基础参数'!$E$19,'模板使用说明&amp;基础参数'!$E$26),"")))))</f>
        <v>4</v>
      </c>
      <c r="J353" s="97" t="s">
        <v>38</v>
      </c>
      <c r="K353" s="97" t="s">
        <v>78</v>
      </c>
      <c r="L353" s="98">
        <f>IF(I353="","",IF(J353="高",IF(K353="删除",I353*'模板使用说明&amp;基础参数'!$E$5*'模板使用说明&amp;基础参数'!$E$12,IF(K353="修改",I353*'模板使用说明&amp;基础参数'!$E$5*'模板使用说明&amp;基础参数'!$E$11,I353*'模板使用说明&amp;基础参数'!$E$5*'模板使用说明&amp;基础参数'!$E$10)),IF(J353="中",IF(K353="删除",I353*'模板使用说明&amp;基础参数'!$E$6*'模板使用说明&amp;基础参数'!$E$12,IF(K353="修改",I353*'模板使用说明&amp;基础参数'!$E$6*'模板使用说明&amp;基础参数'!$E$11,I353*'模板使用说明&amp;基础参数'!$E$6*'模板使用说明&amp;基础参数'!$E$10)),IF(K353="删除",I353*'模板使用说明&amp;基础参数'!$E$7*'模板使用说明&amp;基础参数'!$E$12,IF(K353="修改",I353*'模板使用说明&amp;基础参数'!$E$7*'模板使用说明&amp;基础参数'!$E$11,I353*'模板使用说明&amp;基础参数'!$E$7*'模板使用说明&amp;基础参数'!$E$10)))))</f>
        <v>1.06666666666667</v>
      </c>
      <c r="M353" s="95"/>
      <c r="N353" s="99"/>
      <c r="O353" s="100"/>
    </row>
    <row r="354" s="70" customFormat="1" ht="25" customHeight="1" spans="1:15">
      <c r="A354" s="93">
        <v>349</v>
      </c>
      <c r="B354" s="94" t="s">
        <v>72</v>
      </c>
      <c r="C354" s="95" t="s">
        <v>144</v>
      </c>
      <c r="D354" s="95" t="s">
        <v>145</v>
      </c>
      <c r="E354" s="95" t="s">
        <v>145</v>
      </c>
      <c r="F354" s="95" t="s">
        <v>786</v>
      </c>
      <c r="G354" s="95" t="s">
        <v>787</v>
      </c>
      <c r="H354" s="93" t="s">
        <v>84</v>
      </c>
      <c r="I354" s="96">
        <f>IF(H354="ILF",IF($C$1="预估功能点",'模板使用说明&amp;基础参数'!$E$15,7),IF(H354="EIF",IF($C$1="预估功能点",'模板使用说明&amp;基础参数'!$E$16,5),IF(H354="EI",IF($C$1="预估功能点",'模板使用说明&amp;基础参数'!$E$17,'模板使用说明&amp;基础参数'!$E$24),IF(H354="EO",IF($C$1="预估功能点",'模板使用说明&amp;基础参数'!$E$18,'模板使用说明&amp;基础参数'!$E$25),IF(H354="EQ",IF($C$1="预估功能点",'模板使用说明&amp;基础参数'!$E$19,'模板使用说明&amp;基础参数'!$E$26),"")))))</f>
        <v>4</v>
      </c>
      <c r="J354" s="97" t="s">
        <v>38</v>
      </c>
      <c r="K354" s="97" t="s">
        <v>78</v>
      </c>
      <c r="L354" s="98">
        <f>IF(I354="","",IF(J354="高",IF(K354="删除",I354*'模板使用说明&amp;基础参数'!$E$5*'模板使用说明&amp;基础参数'!$E$12,IF(K354="修改",I354*'模板使用说明&amp;基础参数'!$E$5*'模板使用说明&amp;基础参数'!$E$11,I354*'模板使用说明&amp;基础参数'!$E$5*'模板使用说明&amp;基础参数'!$E$10)),IF(J354="中",IF(K354="删除",I354*'模板使用说明&amp;基础参数'!$E$6*'模板使用说明&amp;基础参数'!$E$12,IF(K354="修改",I354*'模板使用说明&amp;基础参数'!$E$6*'模板使用说明&amp;基础参数'!$E$11,I354*'模板使用说明&amp;基础参数'!$E$6*'模板使用说明&amp;基础参数'!$E$10)),IF(K354="删除",I354*'模板使用说明&amp;基础参数'!$E$7*'模板使用说明&amp;基础参数'!$E$12,IF(K354="修改",I354*'模板使用说明&amp;基础参数'!$E$7*'模板使用说明&amp;基础参数'!$E$11,I354*'模板使用说明&amp;基础参数'!$E$7*'模板使用说明&amp;基础参数'!$E$10)))))</f>
        <v>1.06666666666667</v>
      </c>
      <c r="M354" s="95"/>
      <c r="N354" s="99"/>
      <c r="O354" s="100"/>
    </row>
    <row r="355" s="70" customFormat="1" ht="25" customHeight="1" spans="1:15">
      <c r="A355" s="93">
        <v>350</v>
      </c>
      <c r="B355" s="94" t="s">
        <v>72</v>
      </c>
      <c r="C355" s="95" t="s">
        <v>144</v>
      </c>
      <c r="D355" s="95" t="s">
        <v>145</v>
      </c>
      <c r="E355" s="95" t="s">
        <v>145</v>
      </c>
      <c r="F355" s="95" t="s">
        <v>788</v>
      </c>
      <c r="G355" s="95" t="s">
        <v>789</v>
      </c>
      <c r="H355" s="93" t="s">
        <v>84</v>
      </c>
      <c r="I355" s="96">
        <f>IF(H355="ILF",IF($C$1="预估功能点",'模板使用说明&amp;基础参数'!$E$15,7),IF(H355="EIF",IF($C$1="预估功能点",'模板使用说明&amp;基础参数'!$E$16,5),IF(H355="EI",IF($C$1="预估功能点",'模板使用说明&amp;基础参数'!$E$17,'模板使用说明&amp;基础参数'!$E$24),IF(H355="EO",IF($C$1="预估功能点",'模板使用说明&amp;基础参数'!$E$18,'模板使用说明&amp;基础参数'!$E$25),IF(H355="EQ",IF($C$1="预估功能点",'模板使用说明&amp;基础参数'!$E$19,'模板使用说明&amp;基础参数'!$E$26),"")))))</f>
        <v>4</v>
      </c>
      <c r="J355" s="97" t="s">
        <v>38</v>
      </c>
      <c r="K355" s="97" t="s">
        <v>78</v>
      </c>
      <c r="L355" s="98">
        <f>IF(I355="","",IF(J355="高",IF(K355="删除",I355*'模板使用说明&amp;基础参数'!$E$5*'模板使用说明&amp;基础参数'!$E$12,IF(K355="修改",I355*'模板使用说明&amp;基础参数'!$E$5*'模板使用说明&amp;基础参数'!$E$11,I355*'模板使用说明&amp;基础参数'!$E$5*'模板使用说明&amp;基础参数'!$E$10)),IF(J355="中",IF(K355="删除",I355*'模板使用说明&amp;基础参数'!$E$6*'模板使用说明&amp;基础参数'!$E$12,IF(K355="修改",I355*'模板使用说明&amp;基础参数'!$E$6*'模板使用说明&amp;基础参数'!$E$11,I355*'模板使用说明&amp;基础参数'!$E$6*'模板使用说明&amp;基础参数'!$E$10)),IF(K355="删除",I355*'模板使用说明&amp;基础参数'!$E$7*'模板使用说明&amp;基础参数'!$E$12,IF(K355="修改",I355*'模板使用说明&amp;基础参数'!$E$7*'模板使用说明&amp;基础参数'!$E$11,I355*'模板使用说明&amp;基础参数'!$E$7*'模板使用说明&amp;基础参数'!$E$10)))))</f>
        <v>1.06666666666667</v>
      </c>
      <c r="M355" s="95"/>
      <c r="N355" s="99"/>
      <c r="O355" s="100"/>
    </row>
    <row r="356" s="70" customFormat="1" ht="25" customHeight="1" spans="1:15">
      <c r="A356" s="93">
        <v>351</v>
      </c>
      <c r="B356" s="94" t="s">
        <v>72</v>
      </c>
      <c r="C356" s="95" t="s">
        <v>154</v>
      </c>
      <c r="D356" s="95" t="s">
        <v>155</v>
      </c>
      <c r="E356" s="95" t="s">
        <v>155</v>
      </c>
      <c r="F356" s="95" t="s">
        <v>790</v>
      </c>
      <c r="G356" s="95" t="s">
        <v>791</v>
      </c>
      <c r="H356" s="93" t="s">
        <v>77</v>
      </c>
      <c r="I356" s="96">
        <f>IF(H356="ILF",IF($C$1="预估功能点",'模板使用说明&amp;基础参数'!$E$15,7),IF(H356="EIF",IF($C$1="预估功能点",'模板使用说明&amp;基础参数'!$E$16,5),IF(H356="EI",IF($C$1="预估功能点",'模板使用说明&amp;基础参数'!$E$17,'模板使用说明&amp;基础参数'!$E$24),IF(H356="EO",IF($C$1="预估功能点",'模板使用说明&amp;基础参数'!$E$18,'模板使用说明&amp;基础参数'!$E$25),IF(H356="EQ",IF($C$1="预估功能点",'模板使用说明&amp;基础参数'!$E$19,'模板使用说明&amp;基础参数'!$E$26),"")))))</f>
        <v>7</v>
      </c>
      <c r="J356" s="97" t="s">
        <v>38</v>
      </c>
      <c r="K356" s="97" t="s">
        <v>78</v>
      </c>
      <c r="L356" s="98">
        <f>IF(I356="","",IF(J356="高",IF(K356="删除",I356*'模板使用说明&amp;基础参数'!$E$5*'模板使用说明&amp;基础参数'!$E$12,IF(K356="修改",I356*'模板使用说明&amp;基础参数'!$E$5*'模板使用说明&amp;基础参数'!$E$11,I356*'模板使用说明&amp;基础参数'!$E$5*'模板使用说明&amp;基础参数'!$E$10)),IF(J356="中",IF(K356="删除",I356*'模板使用说明&amp;基础参数'!$E$6*'模板使用说明&amp;基础参数'!$E$12,IF(K356="修改",I356*'模板使用说明&amp;基础参数'!$E$6*'模板使用说明&amp;基础参数'!$E$11,I356*'模板使用说明&amp;基础参数'!$E$6*'模板使用说明&amp;基础参数'!$E$10)),IF(K356="删除",I356*'模板使用说明&amp;基础参数'!$E$7*'模板使用说明&amp;基础参数'!$E$12,IF(K356="修改",I356*'模板使用说明&amp;基础参数'!$E$7*'模板使用说明&amp;基础参数'!$E$11,I356*'模板使用说明&amp;基础参数'!$E$7*'模板使用说明&amp;基础参数'!$E$10)))))</f>
        <v>1.86666666666666</v>
      </c>
      <c r="M356" s="95"/>
      <c r="N356" s="99"/>
      <c r="O356" s="100"/>
    </row>
    <row r="357" s="70" customFormat="1" ht="25" customHeight="1" spans="1:15">
      <c r="A357" s="93">
        <v>352</v>
      </c>
      <c r="B357" s="94" t="s">
        <v>72</v>
      </c>
      <c r="C357" s="95" t="s">
        <v>154</v>
      </c>
      <c r="D357" s="95" t="s">
        <v>155</v>
      </c>
      <c r="E357" s="95" t="s">
        <v>155</v>
      </c>
      <c r="F357" s="95" t="s">
        <v>792</v>
      </c>
      <c r="G357" s="95" t="s">
        <v>793</v>
      </c>
      <c r="H357" s="93" t="s">
        <v>81</v>
      </c>
      <c r="I357" s="96">
        <f>IF(H357="ILF",IF($C$1="预估功能点",'模板使用说明&amp;基础参数'!$E$15,7),IF(H357="EIF",IF($C$1="预估功能点",'模板使用说明&amp;基础参数'!$E$16,5),IF(H357="EI",IF($C$1="预估功能点",'模板使用说明&amp;基础参数'!$E$17,'模板使用说明&amp;基础参数'!$E$24),IF(H357="EO",IF($C$1="预估功能点",'模板使用说明&amp;基础参数'!$E$18,'模板使用说明&amp;基础参数'!$E$25),IF(H357="EQ",IF($C$1="预估功能点",'模板使用说明&amp;基础参数'!$E$19,'模板使用说明&amp;基础参数'!$E$26),"")))))</f>
        <v>4</v>
      </c>
      <c r="J357" s="97" t="s">
        <v>38</v>
      </c>
      <c r="K357" s="97" t="s">
        <v>78</v>
      </c>
      <c r="L357" s="98">
        <f>IF(I357="","",IF(J357="高",IF(K357="删除",I357*'模板使用说明&amp;基础参数'!$E$5*'模板使用说明&amp;基础参数'!$E$12,IF(K357="修改",I357*'模板使用说明&amp;基础参数'!$E$5*'模板使用说明&amp;基础参数'!$E$11,I357*'模板使用说明&amp;基础参数'!$E$5*'模板使用说明&amp;基础参数'!$E$10)),IF(J357="中",IF(K357="删除",I357*'模板使用说明&amp;基础参数'!$E$6*'模板使用说明&amp;基础参数'!$E$12,IF(K357="修改",I357*'模板使用说明&amp;基础参数'!$E$6*'模板使用说明&amp;基础参数'!$E$11,I357*'模板使用说明&amp;基础参数'!$E$6*'模板使用说明&amp;基础参数'!$E$10)),IF(K357="删除",I357*'模板使用说明&amp;基础参数'!$E$7*'模板使用说明&amp;基础参数'!$E$12,IF(K357="修改",I357*'模板使用说明&amp;基础参数'!$E$7*'模板使用说明&amp;基础参数'!$E$11,I357*'模板使用说明&amp;基础参数'!$E$7*'模板使用说明&amp;基础参数'!$E$10)))))</f>
        <v>1.06666666666667</v>
      </c>
      <c r="M357" s="95"/>
      <c r="N357" s="99"/>
      <c r="O357" s="100"/>
    </row>
    <row r="358" s="70" customFormat="1" ht="25" customHeight="1" spans="1:15">
      <c r="A358" s="93">
        <v>353</v>
      </c>
      <c r="B358" s="94" t="s">
        <v>72</v>
      </c>
      <c r="C358" s="95" t="s">
        <v>154</v>
      </c>
      <c r="D358" s="95" t="s">
        <v>155</v>
      </c>
      <c r="E358" s="95" t="s">
        <v>155</v>
      </c>
      <c r="F358" s="95" t="s">
        <v>794</v>
      </c>
      <c r="G358" s="95" t="s">
        <v>795</v>
      </c>
      <c r="H358" s="93" t="s">
        <v>84</v>
      </c>
      <c r="I358" s="96">
        <f>IF(H358="ILF",IF($C$1="预估功能点",'模板使用说明&amp;基础参数'!$E$15,7),IF(H358="EIF",IF($C$1="预估功能点",'模板使用说明&amp;基础参数'!$E$16,5),IF(H358="EI",IF($C$1="预估功能点",'模板使用说明&amp;基础参数'!$E$17,'模板使用说明&amp;基础参数'!$E$24),IF(H358="EO",IF($C$1="预估功能点",'模板使用说明&amp;基础参数'!$E$18,'模板使用说明&amp;基础参数'!$E$25),IF(H358="EQ",IF($C$1="预估功能点",'模板使用说明&amp;基础参数'!$E$19,'模板使用说明&amp;基础参数'!$E$26),"")))))</f>
        <v>4</v>
      </c>
      <c r="J358" s="97" t="s">
        <v>38</v>
      </c>
      <c r="K358" s="97" t="s">
        <v>78</v>
      </c>
      <c r="L358" s="98">
        <f>IF(I358="","",IF(J358="高",IF(K358="删除",I358*'模板使用说明&amp;基础参数'!$E$5*'模板使用说明&amp;基础参数'!$E$12,IF(K358="修改",I358*'模板使用说明&amp;基础参数'!$E$5*'模板使用说明&amp;基础参数'!$E$11,I358*'模板使用说明&amp;基础参数'!$E$5*'模板使用说明&amp;基础参数'!$E$10)),IF(J358="中",IF(K358="删除",I358*'模板使用说明&amp;基础参数'!$E$6*'模板使用说明&amp;基础参数'!$E$12,IF(K358="修改",I358*'模板使用说明&amp;基础参数'!$E$6*'模板使用说明&amp;基础参数'!$E$11,I358*'模板使用说明&amp;基础参数'!$E$6*'模板使用说明&amp;基础参数'!$E$10)),IF(K358="删除",I358*'模板使用说明&amp;基础参数'!$E$7*'模板使用说明&amp;基础参数'!$E$12,IF(K358="修改",I358*'模板使用说明&amp;基础参数'!$E$7*'模板使用说明&amp;基础参数'!$E$11,I358*'模板使用说明&amp;基础参数'!$E$7*'模板使用说明&amp;基础参数'!$E$10)))))</f>
        <v>1.06666666666667</v>
      </c>
      <c r="M358" s="95"/>
      <c r="N358" s="99"/>
      <c r="O358" s="100"/>
    </row>
    <row r="359" s="70" customFormat="1" ht="25" customHeight="1" spans="1:15">
      <c r="A359" s="93">
        <v>354</v>
      </c>
      <c r="B359" s="94" t="s">
        <v>72</v>
      </c>
      <c r="C359" s="95" t="s">
        <v>154</v>
      </c>
      <c r="D359" s="95" t="s">
        <v>155</v>
      </c>
      <c r="E359" s="95" t="s">
        <v>155</v>
      </c>
      <c r="F359" s="95" t="s">
        <v>796</v>
      </c>
      <c r="G359" s="95" t="s">
        <v>797</v>
      </c>
      <c r="H359" s="93" t="s">
        <v>84</v>
      </c>
      <c r="I359" s="96">
        <f>IF(H359="ILF",IF($C$1="预估功能点",'模板使用说明&amp;基础参数'!$E$15,7),IF(H359="EIF",IF($C$1="预估功能点",'模板使用说明&amp;基础参数'!$E$16,5),IF(H359="EI",IF($C$1="预估功能点",'模板使用说明&amp;基础参数'!$E$17,'模板使用说明&amp;基础参数'!$E$24),IF(H359="EO",IF($C$1="预估功能点",'模板使用说明&amp;基础参数'!$E$18,'模板使用说明&amp;基础参数'!$E$25),IF(H359="EQ",IF($C$1="预估功能点",'模板使用说明&amp;基础参数'!$E$19,'模板使用说明&amp;基础参数'!$E$26),"")))))</f>
        <v>4</v>
      </c>
      <c r="J359" s="97" t="s">
        <v>38</v>
      </c>
      <c r="K359" s="97" t="s">
        <v>78</v>
      </c>
      <c r="L359" s="98">
        <f>IF(I359="","",IF(J359="高",IF(K359="删除",I359*'模板使用说明&amp;基础参数'!$E$5*'模板使用说明&amp;基础参数'!$E$12,IF(K359="修改",I359*'模板使用说明&amp;基础参数'!$E$5*'模板使用说明&amp;基础参数'!$E$11,I359*'模板使用说明&amp;基础参数'!$E$5*'模板使用说明&amp;基础参数'!$E$10)),IF(J359="中",IF(K359="删除",I359*'模板使用说明&amp;基础参数'!$E$6*'模板使用说明&amp;基础参数'!$E$12,IF(K359="修改",I359*'模板使用说明&amp;基础参数'!$E$6*'模板使用说明&amp;基础参数'!$E$11,I359*'模板使用说明&amp;基础参数'!$E$6*'模板使用说明&amp;基础参数'!$E$10)),IF(K359="删除",I359*'模板使用说明&amp;基础参数'!$E$7*'模板使用说明&amp;基础参数'!$E$12,IF(K359="修改",I359*'模板使用说明&amp;基础参数'!$E$7*'模板使用说明&amp;基础参数'!$E$11,I359*'模板使用说明&amp;基础参数'!$E$7*'模板使用说明&amp;基础参数'!$E$10)))))</f>
        <v>1.06666666666667</v>
      </c>
      <c r="M359" s="95"/>
      <c r="N359" s="99"/>
      <c r="O359" s="100"/>
    </row>
    <row r="360" s="70" customFormat="1" ht="25" customHeight="1" spans="1:15">
      <c r="A360" s="93">
        <v>355</v>
      </c>
      <c r="B360" s="94" t="s">
        <v>72</v>
      </c>
      <c r="C360" s="95" t="s">
        <v>154</v>
      </c>
      <c r="D360" s="95" t="s">
        <v>155</v>
      </c>
      <c r="E360" s="95" t="s">
        <v>155</v>
      </c>
      <c r="F360" s="95" t="s">
        <v>798</v>
      </c>
      <c r="G360" s="95" t="s">
        <v>799</v>
      </c>
      <c r="H360" s="93" t="s">
        <v>84</v>
      </c>
      <c r="I360" s="96">
        <f>IF(H360="ILF",IF($C$1="预估功能点",'模板使用说明&amp;基础参数'!$E$15,7),IF(H360="EIF",IF($C$1="预估功能点",'模板使用说明&amp;基础参数'!$E$16,5),IF(H360="EI",IF($C$1="预估功能点",'模板使用说明&amp;基础参数'!$E$17,'模板使用说明&amp;基础参数'!$E$24),IF(H360="EO",IF($C$1="预估功能点",'模板使用说明&amp;基础参数'!$E$18,'模板使用说明&amp;基础参数'!$E$25),IF(H360="EQ",IF($C$1="预估功能点",'模板使用说明&amp;基础参数'!$E$19,'模板使用说明&amp;基础参数'!$E$26),"")))))</f>
        <v>4</v>
      </c>
      <c r="J360" s="97" t="s">
        <v>38</v>
      </c>
      <c r="K360" s="97" t="s">
        <v>78</v>
      </c>
      <c r="L360" s="98">
        <f>IF(I360="","",IF(J360="高",IF(K360="删除",I360*'模板使用说明&amp;基础参数'!$E$5*'模板使用说明&amp;基础参数'!$E$12,IF(K360="修改",I360*'模板使用说明&amp;基础参数'!$E$5*'模板使用说明&amp;基础参数'!$E$11,I360*'模板使用说明&amp;基础参数'!$E$5*'模板使用说明&amp;基础参数'!$E$10)),IF(J360="中",IF(K360="删除",I360*'模板使用说明&amp;基础参数'!$E$6*'模板使用说明&amp;基础参数'!$E$12,IF(K360="修改",I360*'模板使用说明&amp;基础参数'!$E$6*'模板使用说明&amp;基础参数'!$E$11,I360*'模板使用说明&amp;基础参数'!$E$6*'模板使用说明&amp;基础参数'!$E$10)),IF(K360="删除",I360*'模板使用说明&amp;基础参数'!$E$7*'模板使用说明&amp;基础参数'!$E$12,IF(K360="修改",I360*'模板使用说明&amp;基础参数'!$E$7*'模板使用说明&amp;基础参数'!$E$11,I360*'模板使用说明&amp;基础参数'!$E$7*'模板使用说明&amp;基础参数'!$E$10)))))</f>
        <v>1.06666666666667</v>
      </c>
      <c r="M360" s="95"/>
      <c r="N360" s="99"/>
      <c r="O360" s="100"/>
    </row>
    <row r="361" s="70" customFormat="1" ht="25" customHeight="1" spans="1:15">
      <c r="A361" s="93">
        <v>356</v>
      </c>
      <c r="B361" s="94" t="s">
        <v>72</v>
      </c>
      <c r="C361" s="95" t="s">
        <v>508</v>
      </c>
      <c r="D361" s="95" t="s">
        <v>509</v>
      </c>
      <c r="E361" s="95" t="s">
        <v>509</v>
      </c>
      <c r="F361" s="95" t="s">
        <v>800</v>
      </c>
      <c r="G361" s="95" t="s">
        <v>801</v>
      </c>
      <c r="H361" s="93" t="s">
        <v>77</v>
      </c>
      <c r="I361" s="96">
        <f>IF(H361="ILF",IF($C$1="预估功能点",'模板使用说明&amp;基础参数'!$E$15,7),IF(H361="EIF",IF($C$1="预估功能点",'模板使用说明&amp;基础参数'!$E$16,5),IF(H361="EI",IF($C$1="预估功能点",'模板使用说明&amp;基础参数'!$E$17,'模板使用说明&amp;基础参数'!$E$24),IF(H361="EO",IF($C$1="预估功能点",'模板使用说明&amp;基础参数'!$E$18,'模板使用说明&amp;基础参数'!$E$25),IF(H361="EQ",IF($C$1="预估功能点",'模板使用说明&amp;基础参数'!$E$19,'模板使用说明&amp;基础参数'!$E$26),"")))))</f>
        <v>7</v>
      </c>
      <c r="J361" s="97" t="s">
        <v>38</v>
      </c>
      <c r="K361" s="97" t="s">
        <v>78</v>
      </c>
      <c r="L361" s="98">
        <f>IF(I361="","",IF(J361="高",IF(K361="删除",I361*'模板使用说明&amp;基础参数'!$E$5*'模板使用说明&amp;基础参数'!$E$12,IF(K361="修改",I361*'模板使用说明&amp;基础参数'!$E$5*'模板使用说明&amp;基础参数'!$E$11,I361*'模板使用说明&amp;基础参数'!$E$5*'模板使用说明&amp;基础参数'!$E$10)),IF(J361="中",IF(K361="删除",I361*'模板使用说明&amp;基础参数'!$E$6*'模板使用说明&amp;基础参数'!$E$12,IF(K361="修改",I361*'模板使用说明&amp;基础参数'!$E$6*'模板使用说明&amp;基础参数'!$E$11,I361*'模板使用说明&amp;基础参数'!$E$6*'模板使用说明&amp;基础参数'!$E$10)),IF(K361="删除",I361*'模板使用说明&amp;基础参数'!$E$7*'模板使用说明&amp;基础参数'!$E$12,IF(K361="修改",I361*'模板使用说明&amp;基础参数'!$E$7*'模板使用说明&amp;基础参数'!$E$11,I361*'模板使用说明&amp;基础参数'!$E$7*'模板使用说明&amp;基础参数'!$E$10)))))</f>
        <v>1.86666666666666</v>
      </c>
      <c r="M361" s="95"/>
      <c r="N361" s="99"/>
      <c r="O361" s="100"/>
    </row>
    <row r="362" s="70" customFormat="1" ht="25" customHeight="1" spans="1:15">
      <c r="A362" s="93">
        <v>357</v>
      </c>
      <c r="B362" s="94" t="s">
        <v>72</v>
      </c>
      <c r="C362" s="95" t="s">
        <v>508</v>
      </c>
      <c r="D362" s="95" t="s">
        <v>509</v>
      </c>
      <c r="E362" s="95" t="s">
        <v>509</v>
      </c>
      <c r="F362" s="95" t="s">
        <v>802</v>
      </c>
      <c r="G362" s="95" t="s">
        <v>803</v>
      </c>
      <c r="H362" s="93" t="s">
        <v>81</v>
      </c>
      <c r="I362" s="96">
        <f>IF(H362="ILF",IF($C$1="预估功能点",'模板使用说明&amp;基础参数'!$E$15,7),IF(H362="EIF",IF($C$1="预估功能点",'模板使用说明&amp;基础参数'!$E$16,5),IF(H362="EI",IF($C$1="预估功能点",'模板使用说明&amp;基础参数'!$E$17,'模板使用说明&amp;基础参数'!$E$24),IF(H362="EO",IF($C$1="预估功能点",'模板使用说明&amp;基础参数'!$E$18,'模板使用说明&amp;基础参数'!$E$25),IF(H362="EQ",IF($C$1="预估功能点",'模板使用说明&amp;基础参数'!$E$19,'模板使用说明&amp;基础参数'!$E$26),"")))))</f>
        <v>4</v>
      </c>
      <c r="J362" s="97" t="s">
        <v>38</v>
      </c>
      <c r="K362" s="97" t="s">
        <v>78</v>
      </c>
      <c r="L362" s="98">
        <f>IF(I362="","",IF(J362="高",IF(K362="删除",I362*'模板使用说明&amp;基础参数'!$E$5*'模板使用说明&amp;基础参数'!$E$12,IF(K362="修改",I362*'模板使用说明&amp;基础参数'!$E$5*'模板使用说明&amp;基础参数'!$E$11,I362*'模板使用说明&amp;基础参数'!$E$5*'模板使用说明&amp;基础参数'!$E$10)),IF(J362="中",IF(K362="删除",I362*'模板使用说明&amp;基础参数'!$E$6*'模板使用说明&amp;基础参数'!$E$12,IF(K362="修改",I362*'模板使用说明&amp;基础参数'!$E$6*'模板使用说明&amp;基础参数'!$E$11,I362*'模板使用说明&amp;基础参数'!$E$6*'模板使用说明&amp;基础参数'!$E$10)),IF(K362="删除",I362*'模板使用说明&amp;基础参数'!$E$7*'模板使用说明&amp;基础参数'!$E$12,IF(K362="修改",I362*'模板使用说明&amp;基础参数'!$E$7*'模板使用说明&amp;基础参数'!$E$11,I362*'模板使用说明&amp;基础参数'!$E$7*'模板使用说明&amp;基础参数'!$E$10)))))</f>
        <v>1.06666666666667</v>
      </c>
      <c r="M362" s="95"/>
      <c r="N362" s="99"/>
      <c r="O362" s="100"/>
    </row>
    <row r="363" s="70" customFormat="1" ht="25" customHeight="1" spans="1:15">
      <c r="A363" s="93">
        <v>358</v>
      </c>
      <c r="B363" s="94" t="s">
        <v>72</v>
      </c>
      <c r="C363" s="95" t="s">
        <v>508</v>
      </c>
      <c r="D363" s="95" t="s">
        <v>509</v>
      </c>
      <c r="E363" s="95" t="s">
        <v>509</v>
      </c>
      <c r="F363" s="95" t="s">
        <v>804</v>
      </c>
      <c r="G363" s="95" t="s">
        <v>805</v>
      </c>
      <c r="H363" s="93" t="s">
        <v>84</v>
      </c>
      <c r="I363" s="96">
        <f>IF(H363="ILF",IF($C$1="预估功能点",'模板使用说明&amp;基础参数'!$E$15,7),IF(H363="EIF",IF($C$1="预估功能点",'模板使用说明&amp;基础参数'!$E$16,5),IF(H363="EI",IF($C$1="预估功能点",'模板使用说明&amp;基础参数'!$E$17,'模板使用说明&amp;基础参数'!$E$24),IF(H363="EO",IF($C$1="预估功能点",'模板使用说明&amp;基础参数'!$E$18,'模板使用说明&amp;基础参数'!$E$25),IF(H363="EQ",IF($C$1="预估功能点",'模板使用说明&amp;基础参数'!$E$19,'模板使用说明&amp;基础参数'!$E$26),"")))))</f>
        <v>4</v>
      </c>
      <c r="J363" s="97" t="s">
        <v>38</v>
      </c>
      <c r="K363" s="97" t="s">
        <v>78</v>
      </c>
      <c r="L363" s="98">
        <f>IF(I363="","",IF(J363="高",IF(K363="删除",I363*'模板使用说明&amp;基础参数'!$E$5*'模板使用说明&amp;基础参数'!$E$12,IF(K363="修改",I363*'模板使用说明&amp;基础参数'!$E$5*'模板使用说明&amp;基础参数'!$E$11,I363*'模板使用说明&amp;基础参数'!$E$5*'模板使用说明&amp;基础参数'!$E$10)),IF(J363="中",IF(K363="删除",I363*'模板使用说明&amp;基础参数'!$E$6*'模板使用说明&amp;基础参数'!$E$12,IF(K363="修改",I363*'模板使用说明&amp;基础参数'!$E$6*'模板使用说明&amp;基础参数'!$E$11,I363*'模板使用说明&amp;基础参数'!$E$6*'模板使用说明&amp;基础参数'!$E$10)),IF(K363="删除",I363*'模板使用说明&amp;基础参数'!$E$7*'模板使用说明&amp;基础参数'!$E$12,IF(K363="修改",I363*'模板使用说明&amp;基础参数'!$E$7*'模板使用说明&amp;基础参数'!$E$11,I363*'模板使用说明&amp;基础参数'!$E$7*'模板使用说明&amp;基础参数'!$E$10)))))</f>
        <v>1.06666666666667</v>
      </c>
      <c r="M363" s="95"/>
      <c r="N363" s="99"/>
      <c r="O363" s="100"/>
    </row>
    <row r="364" s="70" customFormat="1" ht="25" customHeight="1" spans="1:15">
      <c r="A364" s="93">
        <v>359</v>
      </c>
      <c r="B364" s="94" t="s">
        <v>72</v>
      </c>
      <c r="C364" s="95" t="s">
        <v>508</v>
      </c>
      <c r="D364" s="95" t="s">
        <v>509</v>
      </c>
      <c r="E364" s="95" t="s">
        <v>509</v>
      </c>
      <c r="F364" s="95" t="s">
        <v>806</v>
      </c>
      <c r="G364" s="95" t="s">
        <v>807</v>
      </c>
      <c r="H364" s="93" t="s">
        <v>84</v>
      </c>
      <c r="I364" s="96">
        <f>IF(H364="ILF",IF($C$1="预估功能点",'模板使用说明&amp;基础参数'!$E$15,7),IF(H364="EIF",IF($C$1="预估功能点",'模板使用说明&amp;基础参数'!$E$16,5),IF(H364="EI",IF($C$1="预估功能点",'模板使用说明&amp;基础参数'!$E$17,'模板使用说明&amp;基础参数'!$E$24),IF(H364="EO",IF($C$1="预估功能点",'模板使用说明&amp;基础参数'!$E$18,'模板使用说明&amp;基础参数'!$E$25),IF(H364="EQ",IF($C$1="预估功能点",'模板使用说明&amp;基础参数'!$E$19,'模板使用说明&amp;基础参数'!$E$26),"")))))</f>
        <v>4</v>
      </c>
      <c r="J364" s="97" t="s">
        <v>38</v>
      </c>
      <c r="K364" s="97" t="s">
        <v>78</v>
      </c>
      <c r="L364" s="98">
        <f>IF(I364="","",IF(J364="高",IF(K364="删除",I364*'模板使用说明&amp;基础参数'!$E$5*'模板使用说明&amp;基础参数'!$E$12,IF(K364="修改",I364*'模板使用说明&amp;基础参数'!$E$5*'模板使用说明&amp;基础参数'!$E$11,I364*'模板使用说明&amp;基础参数'!$E$5*'模板使用说明&amp;基础参数'!$E$10)),IF(J364="中",IF(K364="删除",I364*'模板使用说明&amp;基础参数'!$E$6*'模板使用说明&amp;基础参数'!$E$12,IF(K364="修改",I364*'模板使用说明&amp;基础参数'!$E$6*'模板使用说明&amp;基础参数'!$E$11,I364*'模板使用说明&amp;基础参数'!$E$6*'模板使用说明&amp;基础参数'!$E$10)),IF(K364="删除",I364*'模板使用说明&amp;基础参数'!$E$7*'模板使用说明&amp;基础参数'!$E$12,IF(K364="修改",I364*'模板使用说明&amp;基础参数'!$E$7*'模板使用说明&amp;基础参数'!$E$11,I364*'模板使用说明&amp;基础参数'!$E$7*'模板使用说明&amp;基础参数'!$E$10)))))</f>
        <v>1.06666666666667</v>
      </c>
      <c r="M364" s="95"/>
      <c r="N364" s="99"/>
      <c r="O364" s="100"/>
    </row>
    <row r="365" s="70" customFormat="1" ht="25" customHeight="1" spans="1:15">
      <c r="A365" s="93">
        <v>360</v>
      </c>
      <c r="B365" s="94" t="s">
        <v>72</v>
      </c>
      <c r="C365" s="95" t="s">
        <v>508</v>
      </c>
      <c r="D365" s="95" t="s">
        <v>509</v>
      </c>
      <c r="E365" s="95" t="s">
        <v>509</v>
      </c>
      <c r="F365" s="95" t="s">
        <v>808</v>
      </c>
      <c r="G365" s="95" t="s">
        <v>809</v>
      </c>
      <c r="H365" s="93" t="s">
        <v>84</v>
      </c>
      <c r="I365" s="96">
        <f>IF(H365="ILF",IF($C$1="预估功能点",'模板使用说明&amp;基础参数'!$E$15,7),IF(H365="EIF",IF($C$1="预估功能点",'模板使用说明&amp;基础参数'!$E$16,5),IF(H365="EI",IF($C$1="预估功能点",'模板使用说明&amp;基础参数'!$E$17,'模板使用说明&amp;基础参数'!$E$24),IF(H365="EO",IF($C$1="预估功能点",'模板使用说明&amp;基础参数'!$E$18,'模板使用说明&amp;基础参数'!$E$25),IF(H365="EQ",IF($C$1="预估功能点",'模板使用说明&amp;基础参数'!$E$19,'模板使用说明&amp;基础参数'!$E$26),"")))))</f>
        <v>4</v>
      </c>
      <c r="J365" s="97" t="s">
        <v>38</v>
      </c>
      <c r="K365" s="97" t="s">
        <v>78</v>
      </c>
      <c r="L365" s="98">
        <f>IF(I365="","",IF(J365="高",IF(K365="删除",I365*'模板使用说明&amp;基础参数'!$E$5*'模板使用说明&amp;基础参数'!$E$12,IF(K365="修改",I365*'模板使用说明&amp;基础参数'!$E$5*'模板使用说明&amp;基础参数'!$E$11,I365*'模板使用说明&amp;基础参数'!$E$5*'模板使用说明&amp;基础参数'!$E$10)),IF(J365="中",IF(K365="删除",I365*'模板使用说明&amp;基础参数'!$E$6*'模板使用说明&amp;基础参数'!$E$12,IF(K365="修改",I365*'模板使用说明&amp;基础参数'!$E$6*'模板使用说明&amp;基础参数'!$E$11,I365*'模板使用说明&amp;基础参数'!$E$6*'模板使用说明&amp;基础参数'!$E$10)),IF(K365="删除",I365*'模板使用说明&amp;基础参数'!$E$7*'模板使用说明&amp;基础参数'!$E$12,IF(K365="修改",I365*'模板使用说明&amp;基础参数'!$E$7*'模板使用说明&amp;基础参数'!$E$11,I365*'模板使用说明&amp;基础参数'!$E$7*'模板使用说明&amp;基础参数'!$E$10)))))</f>
        <v>1.06666666666667</v>
      </c>
      <c r="M365" s="95"/>
      <c r="N365" s="99"/>
      <c r="O365" s="100"/>
    </row>
    <row r="366" s="70" customFormat="1" ht="25" customHeight="1" spans="1:15">
      <c r="A366" s="93">
        <v>361</v>
      </c>
      <c r="B366" s="94" t="s">
        <v>72</v>
      </c>
      <c r="C366" s="95" t="s">
        <v>508</v>
      </c>
      <c r="D366" s="95" t="s">
        <v>509</v>
      </c>
      <c r="E366" s="95" t="s">
        <v>509</v>
      </c>
      <c r="F366" s="95" t="s">
        <v>810</v>
      </c>
      <c r="G366" s="95" t="s">
        <v>811</v>
      </c>
      <c r="H366" s="93" t="s">
        <v>77</v>
      </c>
      <c r="I366" s="96">
        <f>IF(H366="ILF",IF($C$1="预估功能点",'模板使用说明&amp;基础参数'!$E$15,7),IF(H366="EIF",IF($C$1="预估功能点",'模板使用说明&amp;基础参数'!$E$16,5),IF(H366="EI",IF($C$1="预估功能点",'模板使用说明&amp;基础参数'!$E$17,'模板使用说明&amp;基础参数'!$E$24),IF(H366="EO",IF($C$1="预估功能点",'模板使用说明&amp;基础参数'!$E$18,'模板使用说明&amp;基础参数'!$E$25),IF(H366="EQ",IF($C$1="预估功能点",'模板使用说明&amp;基础参数'!$E$19,'模板使用说明&amp;基础参数'!$E$26),"")))))</f>
        <v>7</v>
      </c>
      <c r="J366" s="97" t="s">
        <v>38</v>
      </c>
      <c r="K366" s="97" t="s">
        <v>78</v>
      </c>
      <c r="L366" s="98">
        <f>IF(I366="","",IF(J366="高",IF(K366="删除",I366*'模板使用说明&amp;基础参数'!$E$5*'模板使用说明&amp;基础参数'!$E$12,IF(K366="修改",I366*'模板使用说明&amp;基础参数'!$E$5*'模板使用说明&amp;基础参数'!$E$11,I366*'模板使用说明&amp;基础参数'!$E$5*'模板使用说明&amp;基础参数'!$E$10)),IF(J366="中",IF(K366="删除",I366*'模板使用说明&amp;基础参数'!$E$6*'模板使用说明&amp;基础参数'!$E$12,IF(K366="修改",I366*'模板使用说明&amp;基础参数'!$E$6*'模板使用说明&amp;基础参数'!$E$11,I366*'模板使用说明&amp;基础参数'!$E$6*'模板使用说明&amp;基础参数'!$E$10)),IF(K366="删除",I366*'模板使用说明&amp;基础参数'!$E$7*'模板使用说明&amp;基础参数'!$E$12,IF(K366="修改",I366*'模板使用说明&amp;基础参数'!$E$7*'模板使用说明&amp;基础参数'!$E$11,I366*'模板使用说明&amp;基础参数'!$E$7*'模板使用说明&amp;基础参数'!$E$10)))))</f>
        <v>1.86666666666666</v>
      </c>
      <c r="M366" s="95"/>
      <c r="N366" s="99"/>
      <c r="O366" s="100"/>
    </row>
    <row r="367" s="70" customFormat="1" ht="25" customHeight="1" spans="1:15">
      <c r="A367" s="93">
        <v>362</v>
      </c>
      <c r="B367" s="94" t="s">
        <v>72</v>
      </c>
      <c r="C367" s="95" t="s">
        <v>508</v>
      </c>
      <c r="D367" s="95" t="s">
        <v>509</v>
      </c>
      <c r="E367" s="95" t="s">
        <v>509</v>
      </c>
      <c r="F367" s="95" t="s">
        <v>812</v>
      </c>
      <c r="G367" s="95" t="s">
        <v>813</v>
      </c>
      <c r="H367" s="93" t="s">
        <v>81</v>
      </c>
      <c r="I367" s="96">
        <f>IF(H367="ILF",IF($C$1="预估功能点",'模板使用说明&amp;基础参数'!$E$15,7),IF(H367="EIF",IF($C$1="预估功能点",'模板使用说明&amp;基础参数'!$E$16,5),IF(H367="EI",IF($C$1="预估功能点",'模板使用说明&amp;基础参数'!$E$17,'模板使用说明&amp;基础参数'!$E$24),IF(H367="EO",IF($C$1="预估功能点",'模板使用说明&amp;基础参数'!$E$18,'模板使用说明&amp;基础参数'!$E$25),IF(H367="EQ",IF($C$1="预估功能点",'模板使用说明&amp;基础参数'!$E$19,'模板使用说明&amp;基础参数'!$E$26),"")))))</f>
        <v>4</v>
      </c>
      <c r="J367" s="97" t="s">
        <v>38</v>
      </c>
      <c r="K367" s="97" t="s">
        <v>78</v>
      </c>
      <c r="L367" s="98">
        <f>IF(I367="","",IF(J367="高",IF(K367="删除",I367*'模板使用说明&amp;基础参数'!$E$5*'模板使用说明&amp;基础参数'!$E$12,IF(K367="修改",I367*'模板使用说明&amp;基础参数'!$E$5*'模板使用说明&amp;基础参数'!$E$11,I367*'模板使用说明&amp;基础参数'!$E$5*'模板使用说明&amp;基础参数'!$E$10)),IF(J367="中",IF(K367="删除",I367*'模板使用说明&amp;基础参数'!$E$6*'模板使用说明&amp;基础参数'!$E$12,IF(K367="修改",I367*'模板使用说明&amp;基础参数'!$E$6*'模板使用说明&amp;基础参数'!$E$11,I367*'模板使用说明&amp;基础参数'!$E$6*'模板使用说明&amp;基础参数'!$E$10)),IF(K367="删除",I367*'模板使用说明&amp;基础参数'!$E$7*'模板使用说明&amp;基础参数'!$E$12,IF(K367="修改",I367*'模板使用说明&amp;基础参数'!$E$7*'模板使用说明&amp;基础参数'!$E$11,I367*'模板使用说明&amp;基础参数'!$E$7*'模板使用说明&amp;基础参数'!$E$10)))))</f>
        <v>1.06666666666667</v>
      </c>
      <c r="M367" s="95"/>
      <c r="N367" s="99"/>
      <c r="O367" s="100"/>
    </row>
    <row r="368" s="70" customFormat="1" ht="25" customHeight="1" spans="1:15">
      <c r="A368" s="93">
        <v>363</v>
      </c>
      <c r="B368" s="94" t="s">
        <v>72</v>
      </c>
      <c r="C368" s="95" t="s">
        <v>508</v>
      </c>
      <c r="D368" s="95" t="s">
        <v>509</v>
      </c>
      <c r="E368" s="95" t="s">
        <v>509</v>
      </c>
      <c r="F368" s="95" t="s">
        <v>814</v>
      </c>
      <c r="G368" s="95" t="s">
        <v>815</v>
      </c>
      <c r="H368" s="93" t="s">
        <v>84</v>
      </c>
      <c r="I368" s="96">
        <f>IF(H368="ILF",IF($C$1="预估功能点",'模板使用说明&amp;基础参数'!$E$15,7),IF(H368="EIF",IF($C$1="预估功能点",'模板使用说明&amp;基础参数'!$E$16,5),IF(H368="EI",IF($C$1="预估功能点",'模板使用说明&amp;基础参数'!$E$17,'模板使用说明&amp;基础参数'!$E$24),IF(H368="EO",IF($C$1="预估功能点",'模板使用说明&amp;基础参数'!$E$18,'模板使用说明&amp;基础参数'!$E$25),IF(H368="EQ",IF($C$1="预估功能点",'模板使用说明&amp;基础参数'!$E$19,'模板使用说明&amp;基础参数'!$E$26),"")))))</f>
        <v>4</v>
      </c>
      <c r="J368" s="97" t="s">
        <v>38</v>
      </c>
      <c r="K368" s="97" t="s">
        <v>78</v>
      </c>
      <c r="L368" s="98">
        <f>IF(I368="","",IF(J368="高",IF(K368="删除",I368*'模板使用说明&amp;基础参数'!$E$5*'模板使用说明&amp;基础参数'!$E$12,IF(K368="修改",I368*'模板使用说明&amp;基础参数'!$E$5*'模板使用说明&amp;基础参数'!$E$11,I368*'模板使用说明&amp;基础参数'!$E$5*'模板使用说明&amp;基础参数'!$E$10)),IF(J368="中",IF(K368="删除",I368*'模板使用说明&amp;基础参数'!$E$6*'模板使用说明&amp;基础参数'!$E$12,IF(K368="修改",I368*'模板使用说明&amp;基础参数'!$E$6*'模板使用说明&amp;基础参数'!$E$11,I368*'模板使用说明&amp;基础参数'!$E$6*'模板使用说明&amp;基础参数'!$E$10)),IF(K368="删除",I368*'模板使用说明&amp;基础参数'!$E$7*'模板使用说明&amp;基础参数'!$E$12,IF(K368="修改",I368*'模板使用说明&amp;基础参数'!$E$7*'模板使用说明&amp;基础参数'!$E$11,I368*'模板使用说明&amp;基础参数'!$E$7*'模板使用说明&amp;基础参数'!$E$10)))))</f>
        <v>1.06666666666667</v>
      </c>
      <c r="M368" s="95"/>
      <c r="N368" s="99"/>
      <c r="O368" s="100"/>
    </row>
    <row r="369" s="70" customFormat="1" ht="25" customHeight="1" spans="1:15">
      <c r="A369" s="93">
        <v>364</v>
      </c>
      <c r="B369" s="94" t="s">
        <v>72</v>
      </c>
      <c r="C369" s="95" t="s">
        <v>508</v>
      </c>
      <c r="D369" s="95" t="s">
        <v>509</v>
      </c>
      <c r="E369" s="95" t="s">
        <v>509</v>
      </c>
      <c r="F369" s="95" t="s">
        <v>816</v>
      </c>
      <c r="G369" s="95" t="s">
        <v>817</v>
      </c>
      <c r="H369" s="93" t="s">
        <v>84</v>
      </c>
      <c r="I369" s="96">
        <f>IF(H369="ILF",IF($C$1="预估功能点",'模板使用说明&amp;基础参数'!$E$15,7),IF(H369="EIF",IF($C$1="预估功能点",'模板使用说明&amp;基础参数'!$E$16,5),IF(H369="EI",IF($C$1="预估功能点",'模板使用说明&amp;基础参数'!$E$17,'模板使用说明&amp;基础参数'!$E$24),IF(H369="EO",IF($C$1="预估功能点",'模板使用说明&amp;基础参数'!$E$18,'模板使用说明&amp;基础参数'!$E$25),IF(H369="EQ",IF($C$1="预估功能点",'模板使用说明&amp;基础参数'!$E$19,'模板使用说明&amp;基础参数'!$E$26),"")))))</f>
        <v>4</v>
      </c>
      <c r="J369" s="97" t="s">
        <v>38</v>
      </c>
      <c r="K369" s="97" t="s">
        <v>78</v>
      </c>
      <c r="L369" s="98">
        <f>IF(I369="","",IF(J369="高",IF(K369="删除",I369*'模板使用说明&amp;基础参数'!$E$5*'模板使用说明&amp;基础参数'!$E$12,IF(K369="修改",I369*'模板使用说明&amp;基础参数'!$E$5*'模板使用说明&amp;基础参数'!$E$11,I369*'模板使用说明&amp;基础参数'!$E$5*'模板使用说明&amp;基础参数'!$E$10)),IF(J369="中",IF(K369="删除",I369*'模板使用说明&amp;基础参数'!$E$6*'模板使用说明&amp;基础参数'!$E$12,IF(K369="修改",I369*'模板使用说明&amp;基础参数'!$E$6*'模板使用说明&amp;基础参数'!$E$11,I369*'模板使用说明&amp;基础参数'!$E$6*'模板使用说明&amp;基础参数'!$E$10)),IF(K369="删除",I369*'模板使用说明&amp;基础参数'!$E$7*'模板使用说明&amp;基础参数'!$E$12,IF(K369="修改",I369*'模板使用说明&amp;基础参数'!$E$7*'模板使用说明&amp;基础参数'!$E$11,I369*'模板使用说明&amp;基础参数'!$E$7*'模板使用说明&amp;基础参数'!$E$10)))))</f>
        <v>1.06666666666667</v>
      </c>
      <c r="M369" s="95"/>
      <c r="N369" s="99"/>
      <c r="O369" s="100"/>
    </row>
    <row r="370" s="70" customFormat="1" ht="25" customHeight="1" spans="1:15">
      <c r="A370" s="93">
        <v>365</v>
      </c>
      <c r="B370" s="94" t="s">
        <v>72</v>
      </c>
      <c r="C370" s="95" t="s">
        <v>508</v>
      </c>
      <c r="D370" s="95" t="s">
        <v>509</v>
      </c>
      <c r="E370" s="95" t="s">
        <v>509</v>
      </c>
      <c r="F370" s="95" t="s">
        <v>818</v>
      </c>
      <c r="G370" s="95" t="s">
        <v>819</v>
      </c>
      <c r="H370" s="93" t="s">
        <v>84</v>
      </c>
      <c r="I370" s="96">
        <f>IF(H370="ILF",IF($C$1="预估功能点",'模板使用说明&amp;基础参数'!$E$15,7),IF(H370="EIF",IF($C$1="预估功能点",'模板使用说明&amp;基础参数'!$E$16,5),IF(H370="EI",IF($C$1="预估功能点",'模板使用说明&amp;基础参数'!$E$17,'模板使用说明&amp;基础参数'!$E$24),IF(H370="EO",IF($C$1="预估功能点",'模板使用说明&amp;基础参数'!$E$18,'模板使用说明&amp;基础参数'!$E$25),IF(H370="EQ",IF($C$1="预估功能点",'模板使用说明&amp;基础参数'!$E$19,'模板使用说明&amp;基础参数'!$E$26),"")))))</f>
        <v>4</v>
      </c>
      <c r="J370" s="97" t="s">
        <v>38</v>
      </c>
      <c r="K370" s="97" t="s">
        <v>78</v>
      </c>
      <c r="L370" s="98">
        <f>IF(I370="","",IF(J370="高",IF(K370="删除",I370*'模板使用说明&amp;基础参数'!$E$5*'模板使用说明&amp;基础参数'!$E$12,IF(K370="修改",I370*'模板使用说明&amp;基础参数'!$E$5*'模板使用说明&amp;基础参数'!$E$11,I370*'模板使用说明&amp;基础参数'!$E$5*'模板使用说明&amp;基础参数'!$E$10)),IF(J370="中",IF(K370="删除",I370*'模板使用说明&amp;基础参数'!$E$6*'模板使用说明&amp;基础参数'!$E$12,IF(K370="修改",I370*'模板使用说明&amp;基础参数'!$E$6*'模板使用说明&amp;基础参数'!$E$11,I370*'模板使用说明&amp;基础参数'!$E$6*'模板使用说明&amp;基础参数'!$E$10)),IF(K370="删除",I370*'模板使用说明&amp;基础参数'!$E$7*'模板使用说明&amp;基础参数'!$E$12,IF(K370="修改",I370*'模板使用说明&amp;基础参数'!$E$7*'模板使用说明&amp;基础参数'!$E$11,I370*'模板使用说明&amp;基础参数'!$E$7*'模板使用说明&amp;基础参数'!$E$10)))))</f>
        <v>1.06666666666667</v>
      </c>
      <c r="M370" s="95"/>
      <c r="N370" s="99"/>
      <c r="O370" s="100"/>
    </row>
    <row r="371" s="70" customFormat="1" ht="25" customHeight="1" spans="1:15">
      <c r="A371" s="93">
        <v>366</v>
      </c>
      <c r="B371" s="94" t="s">
        <v>72</v>
      </c>
      <c r="C371" s="95" t="s">
        <v>508</v>
      </c>
      <c r="D371" s="95" t="s">
        <v>509</v>
      </c>
      <c r="E371" s="95" t="s">
        <v>509</v>
      </c>
      <c r="F371" s="95" t="s">
        <v>820</v>
      </c>
      <c r="G371" s="95" t="s">
        <v>821</v>
      </c>
      <c r="H371" s="93" t="s">
        <v>77</v>
      </c>
      <c r="I371" s="96">
        <f>IF(H371="ILF",IF($C$1="预估功能点",'模板使用说明&amp;基础参数'!$E$15,7),IF(H371="EIF",IF($C$1="预估功能点",'模板使用说明&amp;基础参数'!$E$16,5),IF(H371="EI",IF($C$1="预估功能点",'模板使用说明&amp;基础参数'!$E$17,'模板使用说明&amp;基础参数'!$E$24),IF(H371="EO",IF($C$1="预估功能点",'模板使用说明&amp;基础参数'!$E$18,'模板使用说明&amp;基础参数'!$E$25),IF(H371="EQ",IF($C$1="预估功能点",'模板使用说明&amp;基础参数'!$E$19,'模板使用说明&amp;基础参数'!$E$26),"")))))</f>
        <v>7</v>
      </c>
      <c r="J371" s="97" t="s">
        <v>38</v>
      </c>
      <c r="K371" s="97" t="s">
        <v>78</v>
      </c>
      <c r="L371" s="98">
        <f>IF(I371="","",IF(J371="高",IF(K371="删除",I371*'模板使用说明&amp;基础参数'!$E$5*'模板使用说明&amp;基础参数'!$E$12,IF(K371="修改",I371*'模板使用说明&amp;基础参数'!$E$5*'模板使用说明&amp;基础参数'!$E$11,I371*'模板使用说明&amp;基础参数'!$E$5*'模板使用说明&amp;基础参数'!$E$10)),IF(J371="中",IF(K371="删除",I371*'模板使用说明&amp;基础参数'!$E$6*'模板使用说明&amp;基础参数'!$E$12,IF(K371="修改",I371*'模板使用说明&amp;基础参数'!$E$6*'模板使用说明&amp;基础参数'!$E$11,I371*'模板使用说明&amp;基础参数'!$E$6*'模板使用说明&amp;基础参数'!$E$10)),IF(K371="删除",I371*'模板使用说明&amp;基础参数'!$E$7*'模板使用说明&amp;基础参数'!$E$12,IF(K371="修改",I371*'模板使用说明&amp;基础参数'!$E$7*'模板使用说明&amp;基础参数'!$E$11,I371*'模板使用说明&amp;基础参数'!$E$7*'模板使用说明&amp;基础参数'!$E$10)))))</f>
        <v>1.86666666666666</v>
      </c>
      <c r="M371" s="95"/>
      <c r="N371" s="99"/>
      <c r="O371" s="100"/>
    </row>
    <row r="372" s="70" customFormat="1" ht="25" customHeight="1" spans="1:15">
      <c r="A372" s="93">
        <v>367</v>
      </c>
      <c r="B372" s="94" t="s">
        <v>72</v>
      </c>
      <c r="C372" s="95" t="s">
        <v>508</v>
      </c>
      <c r="D372" s="95" t="s">
        <v>509</v>
      </c>
      <c r="E372" s="95" t="s">
        <v>509</v>
      </c>
      <c r="F372" s="95" t="s">
        <v>822</v>
      </c>
      <c r="G372" s="95" t="s">
        <v>823</v>
      </c>
      <c r="H372" s="93" t="s">
        <v>81</v>
      </c>
      <c r="I372" s="96">
        <f>IF(H372="ILF",IF($C$1="预估功能点",'模板使用说明&amp;基础参数'!$E$15,7),IF(H372="EIF",IF($C$1="预估功能点",'模板使用说明&amp;基础参数'!$E$16,5),IF(H372="EI",IF($C$1="预估功能点",'模板使用说明&amp;基础参数'!$E$17,'模板使用说明&amp;基础参数'!$E$24),IF(H372="EO",IF($C$1="预估功能点",'模板使用说明&amp;基础参数'!$E$18,'模板使用说明&amp;基础参数'!$E$25),IF(H372="EQ",IF($C$1="预估功能点",'模板使用说明&amp;基础参数'!$E$19,'模板使用说明&amp;基础参数'!$E$26),"")))))</f>
        <v>4</v>
      </c>
      <c r="J372" s="97" t="s">
        <v>38</v>
      </c>
      <c r="K372" s="97" t="s">
        <v>78</v>
      </c>
      <c r="L372" s="98">
        <f>IF(I372="","",IF(J372="高",IF(K372="删除",I372*'模板使用说明&amp;基础参数'!$E$5*'模板使用说明&amp;基础参数'!$E$12,IF(K372="修改",I372*'模板使用说明&amp;基础参数'!$E$5*'模板使用说明&amp;基础参数'!$E$11,I372*'模板使用说明&amp;基础参数'!$E$5*'模板使用说明&amp;基础参数'!$E$10)),IF(J372="中",IF(K372="删除",I372*'模板使用说明&amp;基础参数'!$E$6*'模板使用说明&amp;基础参数'!$E$12,IF(K372="修改",I372*'模板使用说明&amp;基础参数'!$E$6*'模板使用说明&amp;基础参数'!$E$11,I372*'模板使用说明&amp;基础参数'!$E$6*'模板使用说明&amp;基础参数'!$E$10)),IF(K372="删除",I372*'模板使用说明&amp;基础参数'!$E$7*'模板使用说明&amp;基础参数'!$E$12,IF(K372="修改",I372*'模板使用说明&amp;基础参数'!$E$7*'模板使用说明&amp;基础参数'!$E$11,I372*'模板使用说明&amp;基础参数'!$E$7*'模板使用说明&amp;基础参数'!$E$10)))))</f>
        <v>1.06666666666667</v>
      </c>
      <c r="M372" s="95"/>
      <c r="N372" s="99"/>
      <c r="O372" s="100"/>
    </row>
    <row r="373" s="70" customFormat="1" ht="25" customHeight="1" spans="1:15">
      <c r="A373" s="93">
        <v>368</v>
      </c>
      <c r="B373" s="94" t="s">
        <v>72</v>
      </c>
      <c r="C373" s="95" t="s">
        <v>508</v>
      </c>
      <c r="D373" s="95" t="s">
        <v>509</v>
      </c>
      <c r="E373" s="95" t="s">
        <v>509</v>
      </c>
      <c r="F373" s="95" t="s">
        <v>824</v>
      </c>
      <c r="G373" s="95" t="s">
        <v>825</v>
      </c>
      <c r="H373" s="93" t="s">
        <v>84</v>
      </c>
      <c r="I373" s="96">
        <f>IF(H373="ILF",IF($C$1="预估功能点",'模板使用说明&amp;基础参数'!$E$15,7),IF(H373="EIF",IF($C$1="预估功能点",'模板使用说明&amp;基础参数'!$E$16,5),IF(H373="EI",IF($C$1="预估功能点",'模板使用说明&amp;基础参数'!$E$17,'模板使用说明&amp;基础参数'!$E$24),IF(H373="EO",IF($C$1="预估功能点",'模板使用说明&amp;基础参数'!$E$18,'模板使用说明&amp;基础参数'!$E$25),IF(H373="EQ",IF($C$1="预估功能点",'模板使用说明&amp;基础参数'!$E$19,'模板使用说明&amp;基础参数'!$E$26),"")))))</f>
        <v>4</v>
      </c>
      <c r="J373" s="97" t="s">
        <v>38</v>
      </c>
      <c r="K373" s="97" t="s">
        <v>78</v>
      </c>
      <c r="L373" s="98">
        <f>IF(I373="","",IF(J373="高",IF(K373="删除",I373*'模板使用说明&amp;基础参数'!$E$5*'模板使用说明&amp;基础参数'!$E$12,IF(K373="修改",I373*'模板使用说明&amp;基础参数'!$E$5*'模板使用说明&amp;基础参数'!$E$11,I373*'模板使用说明&amp;基础参数'!$E$5*'模板使用说明&amp;基础参数'!$E$10)),IF(J373="中",IF(K373="删除",I373*'模板使用说明&amp;基础参数'!$E$6*'模板使用说明&amp;基础参数'!$E$12,IF(K373="修改",I373*'模板使用说明&amp;基础参数'!$E$6*'模板使用说明&amp;基础参数'!$E$11,I373*'模板使用说明&amp;基础参数'!$E$6*'模板使用说明&amp;基础参数'!$E$10)),IF(K373="删除",I373*'模板使用说明&amp;基础参数'!$E$7*'模板使用说明&amp;基础参数'!$E$12,IF(K373="修改",I373*'模板使用说明&amp;基础参数'!$E$7*'模板使用说明&amp;基础参数'!$E$11,I373*'模板使用说明&amp;基础参数'!$E$7*'模板使用说明&amp;基础参数'!$E$10)))))</f>
        <v>1.06666666666667</v>
      </c>
      <c r="M373" s="95"/>
      <c r="N373" s="99"/>
      <c r="O373" s="100"/>
    </row>
    <row r="374" s="70" customFormat="1" ht="25" customHeight="1" spans="1:15">
      <c r="A374" s="93">
        <v>369</v>
      </c>
      <c r="B374" s="94" t="s">
        <v>72</v>
      </c>
      <c r="C374" s="95" t="s">
        <v>508</v>
      </c>
      <c r="D374" s="95" t="s">
        <v>509</v>
      </c>
      <c r="E374" s="95" t="s">
        <v>509</v>
      </c>
      <c r="F374" s="95" t="s">
        <v>826</v>
      </c>
      <c r="G374" s="95" t="s">
        <v>827</v>
      </c>
      <c r="H374" s="93" t="s">
        <v>84</v>
      </c>
      <c r="I374" s="96">
        <f>IF(H374="ILF",IF($C$1="预估功能点",'模板使用说明&amp;基础参数'!$E$15,7),IF(H374="EIF",IF($C$1="预估功能点",'模板使用说明&amp;基础参数'!$E$16,5),IF(H374="EI",IF($C$1="预估功能点",'模板使用说明&amp;基础参数'!$E$17,'模板使用说明&amp;基础参数'!$E$24),IF(H374="EO",IF($C$1="预估功能点",'模板使用说明&amp;基础参数'!$E$18,'模板使用说明&amp;基础参数'!$E$25),IF(H374="EQ",IF($C$1="预估功能点",'模板使用说明&amp;基础参数'!$E$19,'模板使用说明&amp;基础参数'!$E$26),"")))))</f>
        <v>4</v>
      </c>
      <c r="J374" s="97" t="s">
        <v>38</v>
      </c>
      <c r="K374" s="97" t="s">
        <v>78</v>
      </c>
      <c r="L374" s="98">
        <f>IF(I374="","",IF(J374="高",IF(K374="删除",I374*'模板使用说明&amp;基础参数'!$E$5*'模板使用说明&amp;基础参数'!$E$12,IF(K374="修改",I374*'模板使用说明&amp;基础参数'!$E$5*'模板使用说明&amp;基础参数'!$E$11,I374*'模板使用说明&amp;基础参数'!$E$5*'模板使用说明&amp;基础参数'!$E$10)),IF(J374="中",IF(K374="删除",I374*'模板使用说明&amp;基础参数'!$E$6*'模板使用说明&amp;基础参数'!$E$12,IF(K374="修改",I374*'模板使用说明&amp;基础参数'!$E$6*'模板使用说明&amp;基础参数'!$E$11,I374*'模板使用说明&amp;基础参数'!$E$6*'模板使用说明&amp;基础参数'!$E$10)),IF(K374="删除",I374*'模板使用说明&amp;基础参数'!$E$7*'模板使用说明&amp;基础参数'!$E$12,IF(K374="修改",I374*'模板使用说明&amp;基础参数'!$E$7*'模板使用说明&amp;基础参数'!$E$11,I374*'模板使用说明&amp;基础参数'!$E$7*'模板使用说明&amp;基础参数'!$E$10)))))</f>
        <v>1.06666666666667</v>
      </c>
      <c r="M374" s="95"/>
      <c r="N374" s="99"/>
      <c r="O374" s="100"/>
    </row>
    <row r="375" s="70" customFormat="1" ht="25" customHeight="1" spans="1:15">
      <c r="A375" s="93">
        <v>370</v>
      </c>
      <c r="B375" s="94" t="s">
        <v>72</v>
      </c>
      <c r="C375" s="95" t="s">
        <v>508</v>
      </c>
      <c r="D375" s="95" t="s">
        <v>509</v>
      </c>
      <c r="E375" s="95" t="s">
        <v>509</v>
      </c>
      <c r="F375" s="95" t="s">
        <v>828</v>
      </c>
      <c r="G375" s="95" t="s">
        <v>829</v>
      </c>
      <c r="H375" s="93" t="s">
        <v>84</v>
      </c>
      <c r="I375" s="96">
        <f>IF(H375="ILF",IF($C$1="预估功能点",'模板使用说明&amp;基础参数'!$E$15,7),IF(H375="EIF",IF($C$1="预估功能点",'模板使用说明&amp;基础参数'!$E$16,5),IF(H375="EI",IF($C$1="预估功能点",'模板使用说明&amp;基础参数'!$E$17,'模板使用说明&amp;基础参数'!$E$24),IF(H375="EO",IF($C$1="预估功能点",'模板使用说明&amp;基础参数'!$E$18,'模板使用说明&amp;基础参数'!$E$25),IF(H375="EQ",IF($C$1="预估功能点",'模板使用说明&amp;基础参数'!$E$19,'模板使用说明&amp;基础参数'!$E$26),"")))))</f>
        <v>4</v>
      </c>
      <c r="J375" s="97" t="s">
        <v>38</v>
      </c>
      <c r="K375" s="97" t="s">
        <v>78</v>
      </c>
      <c r="L375" s="98">
        <f>IF(I375="","",IF(J375="高",IF(K375="删除",I375*'模板使用说明&amp;基础参数'!$E$5*'模板使用说明&amp;基础参数'!$E$12,IF(K375="修改",I375*'模板使用说明&amp;基础参数'!$E$5*'模板使用说明&amp;基础参数'!$E$11,I375*'模板使用说明&amp;基础参数'!$E$5*'模板使用说明&amp;基础参数'!$E$10)),IF(J375="中",IF(K375="删除",I375*'模板使用说明&amp;基础参数'!$E$6*'模板使用说明&amp;基础参数'!$E$12,IF(K375="修改",I375*'模板使用说明&amp;基础参数'!$E$6*'模板使用说明&amp;基础参数'!$E$11,I375*'模板使用说明&amp;基础参数'!$E$6*'模板使用说明&amp;基础参数'!$E$10)),IF(K375="删除",I375*'模板使用说明&amp;基础参数'!$E$7*'模板使用说明&amp;基础参数'!$E$12,IF(K375="修改",I375*'模板使用说明&amp;基础参数'!$E$7*'模板使用说明&amp;基础参数'!$E$11,I375*'模板使用说明&amp;基础参数'!$E$7*'模板使用说明&amp;基础参数'!$E$10)))))</f>
        <v>1.06666666666667</v>
      </c>
      <c r="M375" s="95"/>
      <c r="N375" s="99"/>
      <c r="O375" s="100"/>
    </row>
    <row r="376" s="70" customFormat="1" ht="25" customHeight="1" spans="1:15">
      <c r="A376" s="93">
        <v>371</v>
      </c>
      <c r="B376" s="94" t="s">
        <v>72</v>
      </c>
      <c r="C376" s="95" t="s">
        <v>508</v>
      </c>
      <c r="D376" s="95" t="s">
        <v>509</v>
      </c>
      <c r="E376" s="95" t="s">
        <v>509</v>
      </c>
      <c r="F376" s="95" t="s">
        <v>830</v>
      </c>
      <c r="G376" s="95" t="s">
        <v>831</v>
      </c>
      <c r="H376" s="93" t="s">
        <v>77</v>
      </c>
      <c r="I376" s="96">
        <f>IF(H376="ILF",IF($C$1="预估功能点",'模板使用说明&amp;基础参数'!$E$15,7),IF(H376="EIF",IF($C$1="预估功能点",'模板使用说明&amp;基础参数'!$E$16,5),IF(H376="EI",IF($C$1="预估功能点",'模板使用说明&amp;基础参数'!$E$17,'模板使用说明&amp;基础参数'!$E$24),IF(H376="EO",IF($C$1="预估功能点",'模板使用说明&amp;基础参数'!$E$18,'模板使用说明&amp;基础参数'!$E$25),IF(H376="EQ",IF($C$1="预估功能点",'模板使用说明&amp;基础参数'!$E$19,'模板使用说明&amp;基础参数'!$E$26),"")))))</f>
        <v>7</v>
      </c>
      <c r="J376" s="97" t="s">
        <v>38</v>
      </c>
      <c r="K376" s="97" t="s">
        <v>78</v>
      </c>
      <c r="L376" s="98">
        <f>IF(I376="","",IF(J376="高",IF(K376="删除",I376*'模板使用说明&amp;基础参数'!$E$5*'模板使用说明&amp;基础参数'!$E$12,IF(K376="修改",I376*'模板使用说明&amp;基础参数'!$E$5*'模板使用说明&amp;基础参数'!$E$11,I376*'模板使用说明&amp;基础参数'!$E$5*'模板使用说明&amp;基础参数'!$E$10)),IF(J376="中",IF(K376="删除",I376*'模板使用说明&amp;基础参数'!$E$6*'模板使用说明&amp;基础参数'!$E$12,IF(K376="修改",I376*'模板使用说明&amp;基础参数'!$E$6*'模板使用说明&amp;基础参数'!$E$11,I376*'模板使用说明&amp;基础参数'!$E$6*'模板使用说明&amp;基础参数'!$E$10)),IF(K376="删除",I376*'模板使用说明&amp;基础参数'!$E$7*'模板使用说明&amp;基础参数'!$E$12,IF(K376="修改",I376*'模板使用说明&amp;基础参数'!$E$7*'模板使用说明&amp;基础参数'!$E$11,I376*'模板使用说明&amp;基础参数'!$E$7*'模板使用说明&amp;基础参数'!$E$10)))))</f>
        <v>1.86666666666666</v>
      </c>
      <c r="M376" s="95"/>
      <c r="N376" s="99"/>
      <c r="O376" s="100"/>
    </row>
    <row r="377" s="70" customFormat="1" ht="25" customHeight="1" spans="1:15">
      <c r="A377" s="93">
        <v>372</v>
      </c>
      <c r="B377" s="94" t="s">
        <v>72</v>
      </c>
      <c r="C377" s="95" t="s">
        <v>508</v>
      </c>
      <c r="D377" s="95" t="s">
        <v>509</v>
      </c>
      <c r="E377" s="95" t="s">
        <v>509</v>
      </c>
      <c r="F377" s="95" t="s">
        <v>832</v>
      </c>
      <c r="G377" s="95" t="s">
        <v>833</v>
      </c>
      <c r="H377" s="93" t="s">
        <v>81</v>
      </c>
      <c r="I377" s="96">
        <f>IF(H377="ILF",IF($C$1="预估功能点",'模板使用说明&amp;基础参数'!$E$15,7),IF(H377="EIF",IF($C$1="预估功能点",'模板使用说明&amp;基础参数'!$E$16,5),IF(H377="EI",IF($C$1="预估功能点",'模板使用说明&amp;基础参数'!$E$17,'模板使用说明&amp;基础参数'!$E$24),IF(H377="EO",IF($C$1="预估功能点",'模板使用说明&amp;基础参数'!$E$18,'模板使用说明&amp;基础参数'!$E$25),IF(H377="EQ",IF($C$1="预估功能点",'模板使用说明&amp;基础参数'!$E$19,'模板使用说明&amp;基础参数'!$E$26),"")))))</f>
        <v>4</v>
      </c>
      <c r="J377" s="97" t="s">
        <v>38</v>
      </c>
      <c r="K377" s="97" t="s">
        <v>78</v>
      </c>
      <c r="L377" s="98">
        <f>IF(I377="","",IF(J377="高",IF(K377="删除",I377*'模板使用说明&amp;基础参数'!$E$5*'模板使用说明&amp;基础参数'!$E$12,IF(K377="修改",I377*'模板使用说明&amp;基础参数'!$E$5*'模板使用说明&amp;基础参数'!$E$11,I377*'模板使用说明&amp;基础参数'!$E$5*'模板使用说明&amp;基础参数'!$E$10)),IF(J377="中",IF(K377="删除",I377*'模板使用说明&amp;基础参数'!$E$6*'模板使用说明&amp;基础参数'!$E$12,IF(K377="修改",I377*'模板使用说明&amp;基础参数'!$E$6*'模板使用说明&amp;基础参数'!$E$11,I377*'模板使用说明&amp;基础参数'!$E$6*'模板使用说明&amp;基础参数'!$E$10)),IF(K377="删除",I377*'模板使用说明&amp;基础参数'!$E$7*'模板使用说明&amp;基础参数'!$E$12,IF(K377="修改",I377*'模板使用说明&amp;基础参数'!$E$7*'模板使用说明&amp;基础参数'!$E$11,I377*'模板使用说明&amp;基础参数'!$E$7*'模板使用说明&amp;基础参数'!$E$10)))))</f>
        <v>1.06666666666667</v>
      </c>
      <c r="M377" s="95"/>
      <c r="N377" s="99"/>
      <c r="O377" s="100"/>
    </row>
    <row r="378" s="70" customFormat="1" ht="25" customHeight="1" spans="1:15">
      <c r="A378" s="93">
        <v>373</v>
      </c>
      <c r="B378" s="94" t="s">
        <v>72</v>
      </c>
      <c r="C378" s="95" t="s">
        <v>508</v>
      </c>
      <c r="D378" s="95" t="s">
        <v>509</v>
      </c>
      <c r="E378" s="95" t="s">
        <v>509</v>
      </c>
      <c r="F378" s="95" t="s">
        <v>834</v>
      </c>
      <c r="G378" s="95" t="s">
        <v>835</v>
      </c>
      <c r="H378" s="93" t="s">
        <v>84</v>
      </c>
      <c r="I378" s="96">
        <f>IF(H378="ILF",IF($C$1="预估功能点",'模板使用说明&amp;基础参数'!$E$15,7),IF(H378="EIF",IF($C$1="预估功能点",'模板使用说明&amp;基础参数'!$E$16,5),IF(H378="EI",IF($C$1="预估功能点",'模板使用说明&amp;基础参数'!$E$17,'模板使用说明&amp;基础参数'!$E$24),IF(H378="EO",IF($C$1="预估功能点",'模板使用说明&amp;基础参数'!$E$18,'模板使用说明&amp;基础参数'!$E$25),IF(H378="EQ",IF($C$1="预估功能点",'模板使用说明&amp;基础参数'!$E$19,'模板使用说明&amp;基础参数'!$E$26),"")))))</f>
        <v>4</v>
      </c>
      <c r="J378" s="97" t="s">
        <v>38</v>
      </c>
      <c r="K378" s="97" t="s">
        <v>78</v>
      </c>
      <c r="L378" s="98">
        <f>IF(I378="","",IF(J378="高",IF(K378="删除",I378*'模板使用说明&amp;基础参数'!$E$5*'模板使用说明&amp;基础参数'!$E$12,IF(K378="修改",I378*'模板使用说明&amp;基础参数'!$E$5*'模板使用说明&amp;基础参数'!$E$11,I378*'模板使用说明&amp;基础参数'!$E$5*'模板使用说明&amp;基础参数'!$E$10)),IF(J378="中",IF(K378="删除",I378*'模板使用说明&amp;基础参数'!$E$6*'模板使用说明&amp;基础参数'!$E$12,IF(K378="修改",I378*'模板使用说明&amp;基础参数'!$E$6*'模板使用说明&amp;基础参数'!$E$11,I378*'模板使用说明&amp;基础参数'!$E$6*'模板使用说明&amp;基础参数'!$E$10)),IF(K378="删除",I378*'模板使用说明&amp;基础参数'!$E$7*'模板使用说明&amp;基础参数'!$E$12,IF(K378="修改",I378*'模板使用说明&amp;基础参数'!$E$7*'模板使用说明&amp;基础参数'!$E$11,I378*'模板使用说明&amp;基础参数'!$E$7*'模板使用说明&amp;基础参数'!$E$10)))))</f>
        <v>1.06666666666667</v>
      </c>
      <c r="M378" s="95"/>
      <c r="N378" s="99"/>
      <c r="O378" s="100"/>
    </row>
    <row r="379" s="70" customFormat="1" ht="25" customHeight="1" spans="1:15">
      <c r="A379" s="93">
        <v>374</v>
      </c>
      <c r="B379" s="94" t="s">
        <v>72</v>
      </c>
      <c r="C379" s="95" t="s">
        <v>508</v>
      </c>
      <c r="D379" s="95" t="s">
        <v>509</v>
      </c>
      <c r="E379" s="95" t="s">
        <v>509</v>
      </c>
      <c r="F379" s="95" t="s">
        <v>836</v>
      </c>
      <c r="G379" s="95" t="s">
        <v>837</v>
      </c>
      <c r="H379" s="93" t="s">
        <v>84</v>
      </c>
      <c r="I379" s="96">
        <f>IF(H379="ILF",IF($C$1="预估功能点",'模板使用说明&amp;基础参数'!$E$15,7),IF(H379="EIF",IF($C$1="预估功能点",'模板使用说明&amp;基础参数'!$E$16,5),IF(H379="EI",IF($C$1="预估功能点",'模板使用说明&amp;基础参数'!$E$17,'模板使用说明&amp;基础参数'!$E$24),IF(H379="EO",IF($C$1="预估功能点",'模板使用说明&amp;基础参数'!$E$18,'模板使用说明&amp;基础参数'!$E$25),IF(H379="EQ",IF($C$1="预估功能点",'模板使用说明&amp;基础参数'!$E$19,'模板使用说明&amp;基础参数'!$E$26),"")))))</f>
        <v>4</v>
      </c>
      <c r="J379" s="97" t="s">
        <v>38</v>
      </c>
      <c r="K379" s="97" t="s">
        <v>78</v>
      </c>
      <c r="L379" s="98">
        <f>IF(I379="","",IF(J379="高",IF(K379="删除",I379*'模板使用说明&amp;基础参数'!$E$5*'模板使用说明&amp;基础参数'!$E$12,IF(K379="修改",I379*'模板使用说明&amp;基础参数'!$E$5*'模板使用说明&amp;基础参数'!$E$11,I379*'模板使用说明&amp;基础参数'!$E$5*'模板使用说明&amp;基础参数'!$E$10)),IF(J379="中",IF(K379="删除",I379*'模板使用说明&amp;基础参数'!$E$6*'模板使用说明&amp;基础参数'!$E$12,IF(K379="修改",I379*'模板使用说明&amp;基础参数'!$E$6*'模板使用说明&amp;基础参数'!$E$11,I379*'模板使用说明&amp;基础参数'!$E$6*'模板使用说明&amp;基础参数'!$E$10)),IF(K379="删除",I379*'模板使用说明&amp;基础参数'!$E$7*'模板使用说明&amp;基础参数'!$E$12,IF(K379="修改",I379*'模板使用说明&amp;基础参数'!$E$7*'模板使用说明&amp;基础参数'!$E$11,I379*'模板使用说明&amp;基础参数'!$E$7*'模板使用说明&amp;基础参数'!$E$10)))))</f>
        <v>1.06666666666667</v>
      </c>
      <c r="M379" s="95"/>
      <c r="N379" s="99"/>
      <c r="O379" s="100"/>
    </row>
    <row r="380" s="70" customFormat="1" ht="25" customHeight="1" spans="1:15">
      <c r="A380" s="93">
        <v>375</v>
      </c>
      <c r="B380" s="94" t="s">
        <v>72</v>
      </c>
      <c r="C380" s="95" t="s">
        <v>508</v>
      </c>
      <c r="D380" s="95" t="s">
        <v>509</v>
      </c>
      <c r="E380" s="95" t="s">
        <v>509</v>
      </c>
      <c r="F380" s="95" t="s">
        <v>838</v>
      </c>
      <c r="G380" s="95" t="s">
        <v>839</v>
      </c>
      <c r="H380" s="93" t="s">
        <v>84</v>
      </c>
      <c r="I380" s="96">
        <f>IF(H380="ILF",IF($C$1="预估功能点",'模板使用说明&amp;基础参数'!$E$15,7),IF(H380="EIF",IF($C$1="预估功能点",'模板使用说明&amp;基础参数'!$E$16,5),IF(H380="EI",IF($C$1="预估功能点",'模板使用说明&amp;基础参数'!$E$17,'模板使用说明&amp;基础参数'!$E$24),IF(H380="EO",IF($C$1="预估功能点",'模板使用说明&amp;基础参数'!$E$18,'模板使用说明&amp;基础参数'!$E$25),IF(H380="EQ",IF($C$1="预估功能点",'模板使用说明&amp;基础参数'!$E$19,'模板使用说明&amp;基础参数'!$E$26),"")))))</f>
        <v>4</v>
      </c>
      <c r="J380" s="97" t="s">
        <v>38</v>
      </c>
      <c r="K380" s="97" t="s">
        <v>78</v>
      </c>
      <c r="L380" s="98">
        <f>IF(I380="","",IF(J380="高",IF(K380="删除",I380*'模板使用说明&amp;基础参数'!$E$5*'模板使用说明&amp;基础参数'!$E$12,IF(K380="修改",I380*'模板使用说明&amp;基础参数'!$E$5*'模板使用说明&amp;基础参数'!$E$11,I380*'模板使用说明&amp;基础参数'!$E$5*'模板使用说明&amp;基础参数'!$E$10)),IF(J380="中",IF(K380="删除",I380*'模板使用说明&amp;基础参数'!$E$6*'模板使用说明&amp;基础参数'!$E$12,IF(K380="修改",I380*'模板使用说明&amp;基础参数'!$E$6*'模板使用说明&amp;基础参数'!$E$11,I380*'模板使用说明&amp;基础参数'!$E$6*'模板使用说明&amp;基础参数'!$E$10)),IF(K380="删除",I380*'模板使用说明&amp;基础参数'!$E$7*'模板使用说明&amp;基础参数'!$E$12,IF(K380="修改",I380*'模板使用说明&amp;基础参数'!$E$7*'模板使用说明&amp;基础参数'!$E$11,I380*'模板使用说明&amp;基础参数'!$E$7*'模板使用说明&amp;基础参数'!$E$10)))))</f>
        <v>1.06666666666667</v>
      </c>
      <c r="M380" s="95"/>
      <c r="N380" s="99"/>
      <c r="O380" s="100"/>
    </row>
    <row r="381" s="70" customFormat="1" ht="25" customHeight="1" spans="1:15">
      <c r="A381" s="93">
        <v>376</v>
      </c>
      <c r="B381" s="94" t="s">
        <v>72</v>
      </c>
      <c r="C381" s="95" t="s">
        <v>840</v>
      </c>
      <c r="D381" s="95" t="s">
        <v>841</v>
      </c>
      <c r="E381" s="95" t="s">
        <v>841</v>
      </c>
      <c r="F381" s="95" t="s">
        <v>842</v>
      </c>
      <c r="G381" s="95" t="s">
        <v>843</v>
      </c>
      <c r="H381" s="93" t="s">
        <v>77</v>
      </c>
      <c r="I381" s="96">
        <f>IF(H381="ILF",IF($C$1="预估功能点",'模板使用说明&amp;基础参数'!$E$15,7),IF(H381="EIF",IF($C$1="预估功能点",'模板使用说明&amp;基础参数'!$E$16,5),IF(H381="EI",IF($C$1="预估功能点",'模板使用说明&amp;基础参数'!$E$17,'模板使用说明&amp;基础参数'!$E$24),IF(H381="EO",IF($C$1="预估功能点",'模板使用说明&amp;基础参数'!$E$18,'模板使用说明&amp;基础参数'!$E$25),IF(H381="EQ",IF($C$1="预估功能点",'模板使用说明&amp;基础参数'!$E$19,'模板使用说明&amp;基础参数'!$E$26),"")))))</f>
        <v>7</v>
      </c>
      <c r="J381" s="97" t="s">
        <v>38</v>
      </c>
      <c r="K381" s="97" t="s">
        <v>78</v>
      </c>
      <c r="L381" s="98">
        <f>IF(I381="","",IF(J381="高",IF(K381="删除",I381*'模板使用说明&amp;基础参数'!$E$5*'模板使用说明&amp;基础参数'!$E$12,IF(K381="修改",I381*'模板使用说明&amp;基础参数'!$E$5*'模板使用说明&amp;基础参数'!$E$11,I381*'模板使用说明&amp;基础参数'!$E$5*'模板使用说明&amp;基础参数'!$E$10)),IF(J381="中",IF(K381="删除",I381*'模板使用说明&amp;基础参数'!$E$6*'模板使用说明&amp;基础参数'!$E$12,IF(K381="修改",I381*'模板使用说明&amp;基础参数'!$E$6*'模板使用说明&amp;基础参数'!$E$11,I381*'模板使用说明&amp;基础参数'!$E$6*'模板使用说明&amp;基础参数'!$E$10)),IF(K381="删除",I381*'模板使用说明&amp;基础参数'!$E$7*'模板使用说明&amp;基础参数'!$E$12,IF(K381="修改",I381*'模板使用说明&amp;基础参数'!$E$7*'模板使用说明&amp;基础参数'!$E$11,I381*'模板使用说明&amp;基础参数'!$E$7*'模板使用说明&amp;基础参数'!$E$10)))))</f>
        <v>1.86666666666666</v>
      </c>
      <c r="M381" s="95"/>
      <c r="N381" s="99"/>
      <c r="O381" s="100"/>
    </row>
    <row r="382" s="70" customFormat="1" ht="25" customHeight="1" spans="1:15">
      <c r="A382" s="93">
        <v>377</v>
      </c>
      <c r="B382" s="94" t="s">
        <v>72</v>
      </c>
      <c r="C382" s="95" t="s">
        <v>840</v>
      </c>
      <c r="D382" s="95" t="s">
        <v>841</v>
      </c>
      <c r="E382" s="95" t="s">
        <v>841</v>
      </c>
      <c r="F382" s="95" t="s">
        <v>844</v>
      </c>
      <c r="G382" s="95" t="s">
        <v>845</v>
      </c>
      <c r="H382" s="93" t="s">
        <v>81</v>
      </c>
      <c r="I382" s="96">
        <f>IF(H382="ILF",IF($C$1="预估功能点",'模板使用说明&amp;基础参数'!$E$15,7),IF(H382="EIF",IF($C$1="预估功能点",'模板使用说明&amp;基础参数'!$E$16,5),IF(H382="EI",IF($C$1="预估功能点",'模板使用说明&amp;基础参数'!$E$17,'模板使用说明&amp;基础参数'!$E$24),IF(H382="EO",IF($C$1="预估功能点",'模板使用说明&amp;基础参数'!$E$18,'模板使用说明&amp;基础参数'!$E$25),IF(H382="EQ",IF($C$1="预估功能点",'模板使用说明&amp;基础参数'!$E$19,'模板使用说明&amp;基础参数'!$E$26),"")))))</f>
        <v>4</v>
      </c>
      <c r="J382" s="97" t="s">
        <v>38</v>
      </c>
      <c r="K382" s="97" t="s">
        <v>78</v>
      </c>
      <c r="L382" s="98">
        <f>IF(I382="","",IF(J382="高",IF(K382="删除",I382*'模板使用说明&amp;基础参数'!$E$5*'模板使用说明&amp;基础参数'!$E$12,IF(K382="修改",I382*'模板使用说明&amp;基础参数'!$E$5*'模板使用说明&amp;基础参数'!$E$11,I382*'模板使用说明&amp;基础参数'!$E$5*'模板使用说明&amp;基础参数'!$E$10)),IF(J382="中",IF(K382="删除",I382*'模板使用说明&amp;基础参数'!$E$6*'模板使用说明&amp;基础参数'!$E$12,IF(K382="修改",I382*'模板使用说明&amp;基础参数'!$E$6*'模板使用说明&amp;基础参数'!$E$11,I382*'模板使用说明&amp;基础参数'!$E$6*'模板使用说明&amp;基础参数'!$E$10)),IF(K382="删除",I382*'模板使用说明&amp;基础参数'!$E$7*'模板使用说明&amp;基础参数'!$E$12,IF(K382="修改",I382*'模板使用说明&amp;基础参数'!$E$7*'模板使用说明&amp;基础参数'!$E$11,I382*'模板使用说明&amp;基础参数'!$E$7*'模板使用说明&amp;基础参数'!$E$10)))))</f>
        <v>1.06666666666667</v>
      </c>
      <c r="M382" s="95"/>
      <c r="N382" s="99"/>
      <c r="O382" s="100"/>
    </row>
    <row r="383" s="70" customFormat="1" ht="25" customHeight="1" spans="1:15">
      <c r="A383" s="93">
        <v>378</v>
      </c>
      <c r="B383" s="94" t="s">
        <v>72</v>
      </c>
      <c r="C383" s="95" t="s">
        <v>840</v>
      </c>
      <c r="D383" s="95" t="s">
        <v>841</v>
      </c>
      <c r="E383" s="95" t="s">
        <v>841</v>
      </c>
      <c r="F383" s="95" t="s">
        <v>846</v>
      </c>
      <c r="G383" s="95" t="s">
        <v>847</v>
      </c>
      <c r="H383" s="93" t="s">
        <v>84</v>
      </c>
      <c r="I383" s="96">
        <f>IF(H383="ILF",IF($C$1="预估功能点",'模板使用说明&amp;基础参数'!$E$15,7),IF(H383="EIF",IF($C$1="预估功能点",'模板使用说明&amp;基础参数'!$E$16,5),IF(H383="EI",IF($C$1="预估功能点",'模板使用说明&amp;基础参数'!$E$17,'模板使用说明&amp;基础参数'!$E$24),IF(H383="EO",IF($C$1="预估功能点",'模板使用说明&amp;基础参数'!$E$18,'模板使用说明&amp;基础参数'!$E$25),IF(H383="EQ",IF($C$1="预估功能点",'模板使用说明&amp;基础参数'!$E$19,'模板使用说明&amp;基础参数'!$E$26),"")))))</f>
        <v>4</v>
      </c>
      <c r="J383" s="97" t="s">
        <v>38</v>
      </c>
      <c r="K383" s="97" t="s">
        <v>78</v>
      </c>
      <c r="L383" s="98">
        <f>IF(I383="","",IF(J383="高",IF(K383="删除",I383*'模板使用说明&amp;基础参数'!$E$5*'模板使用说明&amp;基础参数'!$E$12,IF(K383="修改",I383*'模板使用说明&amp;基础参数'!$E$5*'模板使用说明&amp;基础参数'!$E$11,I383*'模板使用说明&amp;基础参数'!$E$5*'模板使用说明&amp;基础参数'!$E$10)),IF(J383="中",IF(K383="删除",I383*'模板使用说明&amp;基础参数'!$E$6*'模板使用说明&amp;基础参数'!$E$12,IF(K383="修改",I383*'模板使用说明&amp;基础参数'!$E$6*'模板使用说明&amp;基础参数'!$E$11,I383*'模板使用说明&amp;基础参数'!$E$6*'模板使用说明&amp;基础参数'!$E$10)),IF(K383="删除",I383*'模板使用说明&amp;基础参数'!$E$7*'模板使用说明&amp;基础参数'!$E$12,IF(K383="修改",I383*'模板使用说明&amp;基础参数'!$E$7*'模板使用说明&amp;基础参数'!$E$11,I383*'模板使用说明&amp;基础参数'!$E$7*'模板使用说明&amp;基础参数'!$E$10)))))</f>
        <v>1.06666666666667</v>
      </c>
      <c r="M383" s="95"/>
      <c r="N383" s="99"/>
      <c r="O383" s="100"/>
    </row>
    <row r="384" s="70" customFormat="1" ht="25" customHeight="1" spans="1:15">
      <c r="A384" s="93">
        <v>379</v>
      </c>
      <c r="B384" s="94" t="s">
        <v>72</v>
      </c>
      <c r="C384" s="95" t="s">
        <v>840</v>
      </c>
      <c r="D384" s="95" t="s">
        <v>841</v>
      </c>
      <c r="E384" s="95" t="s">
        <v>841</v>
      </c>
      <c r="F384" s="95" t="s">
        <v>848</v>
      </c>
      <c r="G384" s="95" t="s">
        <v>849</v>
      </c>
      <c r="H384" s="93" t="s">
        <v>84</v>
      </c>
      <c r="I384" s="96">
        <f>IF(H384="ILF",IF($C$1="预估功能点",'模板使用说明&amp;基础参数'!$E$15,7),IF(H384="EIF",IF($C$1="预估功能点",'模板使用说明&amp;基础参数'!$E$16,5),IF(H384="EI",IF($C$1="预估功能点",'模板使用说明&amp;基础参数'!$E$17,'模板使用说明&amp;基础参数'!$E$24),IF(H384="EO",IF($C$1="预估功能点",'模板使用说明&amp;基础参数'!$E$18,'模板使用说明&amp;基础参数'!$E$25),IF(H384="EQ",IF($C$1="预估功能点",'模板使用说明&amp;基础参数'!$E$19,'模板使用说明&amp;基础参数'!$E$26),"")))))</f>
        <v>4</v>
      </c>
      <c r="J384" s="97" t="s">
        <v>38</v>
      </c>
      <c r="K384" s="97" t="s">
        <v>78</v>
      </c>
      <c r="L384" s="98">
        <f>IF(I384="","",IF(J384="高",IF(K384="删除",I384*'模板使用说明&amp;基础参数'!$E$5*'模板使用说明&amp;基础参数'!$E$12,IF(K384="修改",I384*'模板使用说明&amp;基础参数'!$E$5*'模板使用说明&amp;基础参数'!$E$11,I384*'模板使用说明&amp;基础参数'!$E$5*'模板使用说明&amp;基础参数'!$E$10)),IF(J384="中",IF(K384="删除",I384*'模板使用说明&amp;基础参数'!$E$6*'模板使用说明&amp;基础参数'!$E$12,IF(K384="修改",I384*'模板使用说明&amp;基础参数'!$E$6*'模板使用说明&amp;基础参数'!$E$11,I384*'模板使用说明&amp;基础参数'!$E$6*'模板使用说明&amp;基础参数'!$E$10)),IF(K384="删除",I384*'模板使用说明&amp;基础参数'!$E$7*'模板使用说明&amp;基础参数'!$E$12,IF(K384="修改",I384*'模板使用说明&amp;基础参数'!$E$7*'模板使用说明&amp;基础参数'!$E$11,I384*'模板使用说明&amp;基础参数'!$E$7*'模板使用说明&amp;基础参数'!$E$10)))))</f>
        <v>1.06666666666667</v>
      </c>
      <c r="M384" s="95"/>
      <c r="N384" s="99"/>
      <c r="O384" s="100"/>
    </row>
    <row r="385" s="70" customFormat="1" ht="25" customHeight="1" spans="1:15">
      <c r="A385" s="93">
        <v>380</v>
      </c>
      <c r="B385" s="94" t="s">
        <v>72</v>
      </c>
      <c r="C385" s="95" t="s">
        <v>840</v>
      </c>
      <c r="D385" s="95" t="s">
        <v>841</v>
      </c>
      <c r="E385" s="95" t="s">
        <v>841</v>
      </c>
      <c r="F385" s="95" t="s">
        <v>850</v>
      </c>
      <c r="G385" s="95" t="s">
        <v>851</v>
      </c>
      <c r="H385" s="93" t="s">
        <v>84</v>
      </c>
      <c r="I385" s="96">
        <f>IF(H385="ILF",IF($C$1="预估功能点",'模板使用说明&amp;基础参数'!$E$15,7),IF(H385="EIF",IF($C$1="预估功能点",'模板使用说明&amp;基础参数'!$E$16,5),IF(H385="EI",IF($C$1="预估功能点",'模板使用说明&amp;基础参数'!$E$17,'模板使用说明&amp;基础参数'!$E$24),IF(H385="EO",IF($C$1="预估功能点",'模板使用说明&amp;基础参数'!$E$18,'模板使用说明&amp;基础参数'!$E$25),IF(H385="EQ",IF($C$1="预估功能点",'模板使用说明&amp;基础参数'!$E$19,'模板使用说明&amp;基础参数'!$E$26),"")))))</f>
        <v>4</v>
      </c>
      <c r="J385" s="97" t="s">
        <v>38</v>
      </c>
      <c r="K385" s="97" t="s">
        <v>78</v>
      </c>
      <c r="L385" s="98">
        <f>IF(I385="","",IF(J385="高",IF(K385="删除",I385*'模板使用说明&amp;基础参数'!$E$5*'模板使用说明&amp;基础参数'!$E$12,IF(K385="修改",I385*'模板使用说明&amp;基础参数'!$E$5*'模板使用说明&amp;基础参数'!$E$11,I385*'模板使用说明&amp;基础参数'!$E$5*'模板使用说明&amp;基础参数'!$E$10)),IF(J385="中",IF(K385="删除",I385*'模板使用说明&amp;基础参数'!$E$6*'模板使用说明&amp;基础参数'!$E$12,IF(K385="修改",I385*'模板使用说明&amp;基础参数'!$E$6*'模板使用说明&amp;基础参数'!$E$11,I385*'模板使用说明&amp;基础参数'!$E$6*'模板使用说明&amp;基础参数'!$E$10)),IF(K385="删除",I385*'模板使用说明&amp;基础参数'!$E$7*'模板使用说明&amp;基础参数'!$E$12,IF(K385="修改",I385*'模板使用说明&amp;基础参数'!$E$7*'模板使用说明&amp;基础参数'!$E$11,I385*'模板使用说明&amp;基础参数'!$E$7*'模板使用说明&amp;基础参数'!$E$10)))))</f>
        <v>1.06666666666667</v>
      </c>
      <c r="M385" s="95"/>
      <c r="N385" s="99"/>
      <c r="O385" s="100"/>
    </row>
    <row r="386" s="70" customFormat="1" ht="25" customHeight="1" spans="1:15">
      <c r="A386" s="93">
        <v>381</v>
      </c>
      <c r="B386" s="94" t="s">
        <v>72</v>
      </c>
      <c r="C386" s="95" t="s">
        <v>840</v>
      </c>
      <c r="D386" s="95" t="s">
        <v>841</v>
      </c>
      <c r="E386" s="95" t="s">
        <v>841</v>
      </c>
      <c r="F386" s="95" t="s">
        <v>852</v>
      </c>
      <c r="G386" s="95" t="s">
        <v>853</v>
      </c>
      <c r="H386" s="93" t="s">
        <v>77</v>
      </c>
      <c r="I386" s="96">
        <f>IF(H386="ILF",IF($C$1="预估功能点",'模板使用说明&amp;基础参数'!$E$15,7),IF(H386="EIF",IF($C$1="预估功能点",'模板使用说明&amp;基础参数'!$E$16,5),IF(H386="EI",IF($C$1="预估功能点",'模板使用说明&amp;基础参数'!$E$17,'模板使用说明&amp;基础参数'!$E$24),IF(H386="EO",IF($C$1="预估功能点",'模板使用说明&amp;基础参数'!$E$18,'模板使用说明&amp;基础参数'!$E$25),IF(H386="EQ",IF($C$1="预估功能点",'模板使用说明&amp;基础参数'!$E$19,'模板使用说明&amp;基础参数'!$E$26),"")))))</f>
        <v>7</v>
      </c>
      <c r="J386" s="97" t="s">
        <v>38</v>
      </c>
      <c r="K386" s="97" t="s">
        <v>78</v>
      </c>
      <c r="L386" s="98">
        <f>IF(I386="","",IF(J386="高",IF(K386="删除",I386*'模板使用说明&amp;基础参数'!$E$5*'模板使用说明&amp;基础参数'!$E$12,IF(K386="修改",I386*'模板使用说明&amp;基础参数'!$E$5*'模板使用说明&amp;基础参数'!$E$11,I386*'模板使用说明&amp;基础参数'!$E$5*'模板使用说明&amp;基础参数'!$E$10)),IF(J386="中",IF(K386="删除",I386*'模板使用说明&amp;基础参数'!$E$6*'模板使用说明&amp;基础参数'!$E$12,IF(K386="修改",I386*'模板使用说明&amp;基础参数'!$E$6*'模板使用说明&amp;基础参数'!$E$11,I386*'模板使用说明&amp;基础参数'!$E$6*'模板使用说明&amp;基础参数'!$E$10)),IF(K386="删除",I386*'模板使用说明&amp;基础参数'!$E$7*'模板使用说明&amp;基础参数'!$E$12,IF(K386="修改",I386*'模板使用说明&amp;基础参数'!$E$7*'模板使用说明&amp;基础参数'!$E$11,I386*'模板使用说明&amp;基础参数'!$E$7*'模板使用说明&amp;基础参数'!$E$10)))))</f>
        <v>1.86666666666666</v>
      </c>
      <c r="M386" s="95"/>
      <c r="N386" s="99"/>
      <c r="O386" s="100"/>
    </row>
    <row r="387" s="70" customFormat="1" ht="25" customHeight="1" spans="1:15">
      <c r="A387" s="93">
        <v>382</v>
      </c>
      <c r="B387" s="94" t="s">
        <v>72</v>
      </c>
      <c r="C387" s="95" t="s">
        <v>840</v>
      </c>
      <c r="D387" s="95" t="s">
        <v>841</v>
      </c>
      <c r="E387" s="95" t="s">
        <v>841</v>
      </c>
      <c r="F387" s="95" t="s">
        <v>854</v>
      </c>
      <c r="G387" s="95" t="s">
        <v>855</v>
      </c>
      <c r="H387" s="93" t="s">
        <v>81</v>
      </c>
      <c r="I387" s="96">
        <f>IF(H387="ILF",IF($C$1="预估功能点",'模板使用说明&amp;基础参数'!$E$15,7),IF(H387="EIF",IF($C$1="预估功能点",'模板使用说明&amp;基础参数'!$E$16,5),IF(H387="EI",IF($C$1="预估功能点",'模板使用说明&amp;基础参数'!$E$17,'模板使用说明&amp;基础参数'!$E$24),IF(H387="EO",IF($C$1="预估功能点",'模板使用说明&amp;基础参数'!$E$18,'模板使用说明&amp;基础参数'!$E$25),IF(H387="EQ",IF($C$1="预估功能点",'模板使用说明&amp;基础参数'!$E$19,'模板使用说明&amp;基础参数'!$E$26),"")))))</f>
        <v>4</v>
      </c>
      <c r="J387" s="97" t="s">
        <v>38</v>
      </c>
      <c r="K387" s="97" t="s">
        <v>78</v>
      </c>
      <c r="L387" s="98">
        <f>IF(I387="","",IF(J387="高",IF(K387="删除",I387*'模板使用说明&amp;基础参数'!$E$5*'模板使用说明&amp;基础参数'!$E$12,IF(K387="修改",I387*'模板使用说明&amp;基础参数'!$E$5*'模板使用说明&amp;基础参数'!$E$11,I387*'模板使用说明&amp;基础参数'!$E$5*'模板使用说明&amp;基础参数'!$E$10)),IF(J387="中",IF(K387="删除",I387*'模板使用说明&amp;基础参数'!$E$6*'模板使用说明&amp;基础参数'!$E$12,IF(K387="修改",I387*'模板使用说明&amp;基础参数'!$E$6*'模板使用说明&amp;基础参数'!$E$11,I387*'模板使用说明&amp;基础参数'!$E$6*'模板使用说明&amp;基础参数'!$E$10)),IF(K387="删除",I387*'模板使用说明&amp;基础参数'!$E$7*'模板使用说明&amp;基础参数'!$E$12,IF(K387="修改",I387*'模板使用说明&amp;基础参数'!$E$7*'模板使用说明&amp;基础参数'!$E$11,I387*'模板使用说明&amp;基础参数'!$E$7*'模板使用说明&amp;基础参数'!$E$10)))))</f>
        <v>1.06666666666667</v>
      </c>
      <c r="M387" s="95"/>
      <c r="N387" s="99"/>
      <c r="O387" s="100"/>
    </row>
    <row r="388" s="70" customFormat="1" ht="25" customHeight="1" spans="1:15">
      <c r="A388" s="93">
        <v>383</v>
      </c>
      <c r="B388" s="94" t="s">
        <v>72</v>
      </c>
      <c r="C388" s="95" t="s">
        <v>840</v>
      </c>
      <c r="D388" s="95" t="s">
        <v>841</v>
      </c>
      <c r="E388" s="95" t="s">
        <v>841</v>
      </c>
      <c r="F388" s="95" t="s">
        <v>856</v>
      </c>
      <c r="G388" s="95" t="s">
        <v>857</v>
      </c>
      <c r="H388" s="93" t="s">
        <v>84</v>
      </c>
      <c r="I388" s="96">
        <f>IF(H388="ILF",IF($C$1="预估功能点",'模板使用说明&amp;基础参数'!$E$15,7),IF(H388="EIF",IF($C$1="预估功能点",'模板使用说明&amp;基础参数'!$E$16,5),IF(H388="EI",IF($C$1="预估功能点",'模板使用说明&amp;基础参数'!$E$17,'模板使用说明&amp;基础参数'!$E$24),IF(H388="EO",IF($C$1="预估功能点",'模板使用说明&amp;基础参数'!$E$18,'模板使用说明&amp;基础参数'!$E$25),IF(H388="EQ",IF($C$1="预估功能点",'模板使用说明&amp;基础参数'!$E$19,'模板使用说明&amp;基础参数'!$E$26),"")))))</f>
        <v>4</v>
      </c>
      <c r="J388" s="97" t="s">
        <v>38</v>
      </c>
      <c r="K388" s="97" t="s">
        <v>78</v>
      </c>
      <c r="L388" s="98">
        <f>IF(I388="","",IF(J388="高",IF(K388="删除",I388*'模板使用说明&amp;基础参数'!$E$5*'模板使用说明&amp;基础参数'!$E$12,IF(K388="修改",I388*'模板使用说明&amp;基础参数'!$E$5*'模板使用说明&amp;基础参数'!$E$11,I388*'模板使用说明&amp;基础参数'!$E$5*'模板使用说明&amp;基础参数'!$E$10)),IF(J388="中",IF(K388="删除",I388*'模板使用说明&amp;基础参数'!$E$6*'模板使用说明&amp;基础参数'!$E$12,IF(K388="修改",I388*'模板使用说明&amp;基础参数'!$E$6*'模板使用说明&amp;基础参数'!$E$11,I388*'模板使用说明&amp;基础参数'!$E$6*'模板使用说明&amp;基础参数'!$E$10)),IF(K388="删除",I388*'模板使用说明&amp;基础参数'!$E$7*'模板使用说明&amp;基础参数'!$E$12,IF(K388="修改",I388*'模板使用说明&amp;基础参数'!$E$7*'模板使用说明&amp;基础参数'!$E$11,I388*'模板使用说明&amp;基础参数'!$E$7*'模板使用说明&amp;基础参数'!$E$10)))))</f>
        <v>1.06666666666667</v>
      </c>
      <c r="M388" s="95"/>
      <c r="N388" s="99"/>
      <c r="O388" s="100"/>
    </row>
    <row r="389" s="70" customFormat="1" ht="25" customHeight="1" spans="1:15">
      <c r="A389" s="93">
        <v>384</v>
      </c>
      <c r="B389" s="94" t="s">
        <v>72</v>
      </c>
      <c r="C389" s="95" t="s">
        <v>840</v>
      </c>
      <c r="D389" s="95" t="s">
        <v>841</v>
      </c>
      <c r="E389" s="95" t="s">
        <v>841</v>
      </c>
      <c r="F389" s="95" t="s">
        <v>858</v>
      </c>
      <c r="G389" s="95" t="s">
        <v>859</v>
      </c>
      <c r="H389" s="93" t="s">
        <v>84</v>
      </c>
      <c r="I389" s="96">
        <f>IF(H389="ILF",IF($C$1="预估功能点",'模板使用说明&amp;基础参数'!$E$15,7),IF(H389="EIF",IF($C$1="预估功能点",'模板使用说明&amp;基础参数'!$E$16,5),IF(H389="EI",IF($C$1="预估功能点",'模板使用说明&amp;基础参数'!$E$17,'模板使用说明&amp;基础参数'!$E$24),IF(H389="EO",IF($C$1="预估功能点",'模板使用说明&amp;基础参数'!$E$18,'模板使用说明&amp;基础参数'!$E$25),IF(H389="EQ",IF($C$1="预估功能点",'模板使用说明&amp;基础参数'!$E$19,'模板使用说明&amp;基础参数'!$E$26),"")))))</f>
        <v>4</v>
      </c>
      <c r="J389" s="97" t="s">
        <v>38</v>
      </c>
      <c r="K389" s="97" t="s">
        <v>78</v>
      </c>
      <c r="L389" s="98">
        <f>IF(I389="","",IF(J389="高",IF(K389="删除",I389*'模板使用说明&amp;基础参数'!$E$5*'模板使用说明&amp;基础参数'!$E$12,IF(K389="修改",I389*'模板使用说明&amp;基础参数'!$E$5*'模板使用说明&amp;基础参数'!$E$11,I389*'模板使用说明&amp;基础参数'!$E$5*'模板使用说明&amp;基础参数'!$E$10)),IF(J389="中",IF(K389="删除",I389*'模板使用说明&amp;基础参数'!$E$6*'模板使用说明&amp;基础参数'!$E$12,IF(K389="修改",I389*'模板使用说明&amp;基础参数'!$E$6*'模板使用说明&amp;基础参数'!$E$11,I389*'模板使用说明&amp;基础参数'!$E$6*'模板使用说明&amp;基础参数'!$E$10)),IF(K389="删除",I389*'模板使用说明&amp;基础参数'!$E$7*'模板使用说明&amp;基础参数'!$E$12,IF(K389="修改",I389*'模板使用说明&amp;基础参数'!$E$7*'模板使用说明&amp;基础参数'!$E$11,I389*'模板使用说明&amp;基础参数'!$E$7*'模板使用说明&amp;基础参数'!$E$10)))))</f>
        <v>1.06666666666667</v>
      </c>
      <c r="M389" s="95"/>
      <c r="N389" s="99"/>
      <c r="O389" s="100"/>
    </row>
    <row r="390" s="70" customFormat="1" ht="25" customHeight="1" spans="1:15">
      <c r="A390" s="93">
        <v>385</v>
      </c>
      <c r="B390" s="94" t="s">
        <v>72</v>
      </c>
      <c r="C390" s="95" t="s">
        <v>840</v>
      </c>
      <c r="D390" s="95" t="s">
        <v>841</v>
      </c>
      <c r="E390" s="95" t="s">
        <v>841</v>
      </c>
      <c r="F390" s="95" t="s">
        <v>860</v>
      </c>
      <c r="G390" s="95" t="s">
        <v>861</v>
      </c>
      <c r="H390" s="93" t="s">
        <v>84</v>
      </c>
      <c r="I390" s="96">
        <f>IF(H390="ILF",IF($C$1="预估功能点",'模板使用说明&amp;基础参数'!$E$15,7),IF(H390="EIF",IF($C$1="预估功能点",'模板使用说明&amp;基础参数'!$E$16,5),IF(H390="EI",IF($C$1="预估功能点",'模板使用说明&amp;基础参数'!$E$17,'模板使用说明&amp;基础参数'!$E$24),IF(H390="EO",IF($C$1="预估功能点",'模板使用说明&amp;基础参数'!$E$18,'模板使用说明&amp;基础参数'!$E$25),IF(H390="EQ",IF($C$1="预估功能点",'模板使用说明&amp;基础参数'!$E$19,'模板使用说明&amp;基础参数'!$E$26),"")))))</f>
        <v>4</v>
      </c>
      <c r="J390" s="97" t="s">
        <v>38</v>
      </c>
      <c r="K390" s="97" t="s">
        <v>78</v>
      </c>
      <c r="L390" s="98">
        <f>IF(I390="","",IF(J390="高",IF(K390="删除",I390*'模板使用说明&amp;基础参数'!$E$5*'模板使用说明&amp;基础参数'!$E$12,IF(K390="修改",I390*'模板使用说明&amp;基础参数'!$E$5*'模板使用说明&amp;基础参数'!$E$11,I390*'模板使用说明&amp;基础参数'!$E$5*'模板使用说明&amp;基础参数'!$E$10)),IF(J390="中",IF(K390="删除",I390*'模板使用说明&amp;基础参数'!$E$6*'模板使用说明&amp;基础参数'!$E$12,IF(K390="修改",I390*'模板使用说明&amp;基础参数'!$E$6*'模板使用说明&amp;基础参数'!$E$11,I390*'模板使用说明&amp;基础参数'!$E$6*'模板使用说明&amp;基础参数'!$E$10)),IF(K390="删除",I390*'模板使用说明&amp;基础参数'!$E$7*'模板使用说明&amp;基础参数'!$E$12,IF(K390="修改",I390*'模板使用说明&amp;基础参数'!$E$7*'模板使用说明&amp;基础参数'!$E$11,I390*'模板使用说明&amp;基础参数'!$E$7*'模板使用说明&amp;基础参数'!$E$10)))))</f>
        <v>1.06666666666667</v>
      </c>
      <c r="M390" s="95"/>
      <c r="N390" s="99"/>
      <c r="O390" s="100"/>
    </row>
    <row r="391" s="70" customFormat="1" ht="25" customHeight="1" spans="1:15">
      <c r="A391" s="93">
        <v>386</v>
      </c>
      <c r="B391" s="94" t="s">
        <v>72</v>
      </c>
      <c r="C391" s="95" t="s">
        <v>840</v>
      </c>
      <c r="D391" s="95" t="s">
        <v>841</v>
      </c>
      <c r="E391" s="95" t="s">
        <v>841</v>
      </c>
      <c r="F391" s="95" t="s">
        <v>862</v>
      </c>
      <c r="G391" s="95" t="s">
        <v>863</v>
      </c>
      <c r="H391" s="93" t="s">
        <v>77</v>
      </c>
      <c r="I391" s="96">
        <f>IF(H391="ILF",IF($C$1="预估功能点",'模板使用说明&amp;基础参数'!$E$15,7),IF(H391="EIF",IF($C$1="预估功能点",'模板使用说明&amp;基础参数'!$E$16,5),IF(H391="EI",IF($C$1="预估功能点",'模板使用说明&amp;基础参数'!$E$17,'模板使用说明&amp;基础参数'!$E$24),IF(H391="EO",IF($C$1="预估功能点",'模板使用说明&amp;基础参数'!$E$18,'模板使用说明&amp;基础参数'!$E$25),IF(H391="EQ",IF($C$1="预估功能点",'模板使用说明&amp;基础参数'!$E$19,'模板使用说明&amp;基础参数'!$E$26),"")))))</f>
        <v>7</v>
      </c>
      <c r="J391" s="97" t="s">
        <v>38</v>
      </c>
      <c r="K391" s="97" t="s">
        <v>78</v>
      </c>
      <c r="L391" s="98">
        <f>IF(I391="","",IF(J391="高",IF(K391="删除",I391*'模板使用说明&amp;基础参数'!$E$5*'模板使用说明&amp;基础参数'!$E$12,IF(K391="修改",I391*'模板使用说明&amp;基础参数'!$E$5*'模板使用说明&amp;基础参数'!$E$11,I391*'模板使用说明&amp;基础参数'!$E$5*'模板使用说明&amp;基础参数'!$E$10)),IF(J391="中",IF(K391="删除",I391*'模板使用说明&amp;基础参数'!$E$6*'模板使用说明&amp;基础参数'!$E$12,IF(K391="修改",I391*'模板使用说明&amp;基础参数'!$E$6*'模板使用说明&amp;基础参数'!$E$11,I391*'模板使用说明&amp;基础参数'!$E$6*'模板使用说明&amp;基础参数'!$E$10)),IF(K391="删除",I391*'模板使用说明&amp;基础参数'!$E$7*'模板使用说明&amp;基础参数'!$E$12,IF(K391="修改",I391*'模板使用说明&amp;基础参数'!$E$7*'模板使用说明&amp;基础参数'!$E$11,I391*'模板使用说明&amp;基础参数'!$E$7*'模板使用说明&amp;基础参数'!$E$10)))))</f>
        <v>1.86666666666666</v>
      </c>
      <c r="M391" s="95"/>
      <c r="N391" s="99"/>
      <c r="O391" s="100"/>
    </row>
    <row r="392" s="70" customFormat="1" ht="25" customHeight="1" spans="1:15">
      <c r="A392" s="93">
        <v>387</v>
      </c>
      <c r="B392" s="94" t="s">
        <v>72</v>
      </c>
      <c r="C392" s="95" t="s">
        <v>840</v>
      </c>
      <c r="D392" s="95" t="s">
        <v>841</v>
      </c>
      <c r="E392" s="95" t="s">
        <v>841</v>
      </c>
      <c r="F392" s="95" t="s">
        <v>864</v>
      </c>
      <c r="G392" s="95" t="s">
        <v>865</v>
      </c>
      <c r="H392" s="93" t="s">
        <v>81</v>
      </c>
      <c r="I392" s="96">
        <f>IF(H392="ILF",IF($C$1="预估功能点",'模板使用说明&amp;基础参数'!$E$15,7),IF(H392="EIF",IF($C$1="预估功能点",'模板使用说明&amp;基础参数'!$E$16,5),IF(H392="EI",IF($C$1="预估功能点",'模板使用说明&amp;基础参数'!$E$17,'模板使用说明&amp;基础参数'!$E$24),IF(H392="EO",IF($C$1="预估功能点",'模板使用说明&amp;基础参数'!$E$18,'模板使用说明&amp;基础参数'!$E$25),IF(H392="EQ",IF($C$1="预估功能点",'模板使用说明&amp;基础参数'!$E$19,'模板使用说明&amp;基础参数'!$E$26),"")))))</f>
        <v>4</v>
      </c>
      <c r="J392" s="97" t="s">
        <v>38</v>
      </c>
      <c r="K392" s="97" t="s">
        <v>78</v>
      </c>
      <c r="L392" s="98">
        <f>IF(I392="","",IF(J392="高",IF(K392="删除",I392*'模板使用说明&amp;基础参数'!$E$5*'模板使用说明&amp;基础参数'!$E$12,IF(K392="修改",I392*'模板使用说明&amp;基础参数'!$E$5*'模板使用说明&amp;基础参数'!$E$11,I392*'模板使用说明&amp;基础参数'!$E$5*'模板使用说明&amp;基础参数'!$E$10)),IF(J392="中",IF(K392="删除",I392*'模板使用说明&amp;基础参数'!$E$6*'模板使用说明&amp;基础参数'!$E$12,IF(K392="修改",I392*'模板使用说明&amp;基础参数'!$E$6*'模板使用说明&amp;基础参数'!$E$11,I392*'模板使用说明&amp;基础参数'!$E$6*'模板使用说明&amp;基础参数'!$E$10)),IF(K392="删除",I392*'模板使用说明&amp;基础参数'!$E$7*'模板使用说明&amp;基础参数'!$E$12,IF(K392="修改",I392*'模板使用说明&amp;基础参数'!$E$7*'模板使用说明&amp;基础参数'!$E$11,I392*'模板使用说明&amp;基础参数'!$E$7*'模板使用说明&amp;基础参数'!$E$10)))))</f>
        <v>1.06666666666667</v>
      </c>
      <c r="M392" s="95"/>
      <c r="N392" s="99"/>
      <c r="O392" s="100"/>
    </row>
    <row r="393" s="70" customFormat="1" ht="25" customHeight="1" spans="1:15">
      <c r="A393" s="93">
        <v>388</v>
      </c>
      <c r="B393" s="94" t="s">
        <v>72</v>
      </c>
      <c r="C393" s="95" t="s">
        <v>840</v>
      </c>
      <c r="D393" s="95" t="s">
        <v>841</v>
      </c>
      <c r="E393" s="95" t="s">
        <v>841</v>
      </c>
      <c r="F393" s="95" t="s">
        <v>866</v>
      </c>
      <c r="G393" s="95" t="s">
        <v>867</v>
      </c>
      <c r="H393" s="93" t="s">
        <v>84</v>
      </c>
      <c r="I393" s="96">
        <f>IF(H393="ILF",IF($C$1="预估功能点",'模板使用说明&amp;基础参数'!$E$15,7),IF(H393="EIF",IF($C$1="预估功能点",'模板使用说明&amp;基础参数'!$E$16,5),IF(H393="EI",IF($C$1="预估功能点",'模板使用说明&amp;基础参数'!$E$17,'模板使用说明&amp;基础参数'!$E$24),IF(H393="EO",IF($C$1="预估功能点",'模板使用说明&amp;基础参数'!$E$18,'模板使用说明&amp;基础参数'!$E$25),IF(H393="EQ",IF($C$1="预估功能点",'模板使用说明&amp;基础参数'!$E$19,'模板使用说明&amp;基础参数'!$E$26),"")))))</f>
        <v>4</v>
      </c>
      <c r="J393" s="97" t="s">
        <v>38</v>
      </c>
      <c r="K393" s="97" t="s">
        <v>78</v>
      </c>
      <c r="L393" s="98">
        <f>IF(I393="","",IF(J393="高",IF(K393="删除",I393*'模板使用说明&amp;基础参数'!$E$5*'模板使用说明&amp;基础参数'!$E$12,IF(K393="修改",I393*'模板使用说明&amp;基础参数'!$E$5*'模板使用说明&amp;基础参数'!$E$11,I393*'模板使用说明&amp;基础参数'!$E$5*'模板使用说明&amp;基础参数'!$E$10)),IF(J393="中",IF(K393="删除",I393*'模板使用说明&amp;基础参数'!$E$6*'模板使用说明&amp;基础参数'!$E$12,IF(K393="修改",I393*'模板使用说明&amp;基础参数'!$E$6*'模板使用说明&amp;基础参数'!$E$11,I393*'模板使用说明&amp;基础参数'!$E$6*'模板使用说明&amp;基础参数'!$E$10)),IF(K393="删除",I393*'模板使用说明&amp;基础参数'!$E$7*'模板使用说明&amp;基础参数'!$E$12,IF(K393="修改",I393*'模板使用说明&amp;基础参数'!$E$7*'模板使用说明&amp;基础参数'!$E$11,I393*'模板使用说明&amp;基础参数'!$E$7*'模板使用说明&amp;基础参数'!$E$10)))))</f>
        <v>1.06666666666667</v>
      </c>
      <c r="M393" s="95"/>
      <c r="N393" s="99"/>
      <c r="O393" s="100"/>
    </row>
    <row r="394" s="70" customFormat="1" ht="25" customHeight="1" spans="1:15">
      <c r="A394" s="93">
        <v>389</v>
      </c>
      <c r="B394" s="94" t="s">
        <v>72</v>
      </c>
      <c r="C394" s="95" t="s">
        <v>840</v>
      </c>
      <c r="D394" s="95" t="s">
        <v>841</v>
      </c>
      <c r="E394" s="95" t="s">
        <v>841</v>
      </c>
      <c r="F394" s="95" t="s">
        <v>868</v>
      </c>
      <c r="G394" s="95" t="s">
        <v>869</v>
      </c>
      <c r="H394" s="93" t="s">
        <v>84</v>
      </c>
      <c r="I394" s="96">
        <f>IF(H394="ILF",IF($C$1="预估功能点",'模板使用说明&amp;基础参数'!$E$15,7),IF(H394="EIF",IF($C$1="预估功能点",'模板使用说明&amp;基础参数'!$E$16,5),IF(H394="EI",IF($C$1="预估功能点",'模板使用说明&amp;基础参数'!$E$17,'模板使用说明&amp;基础参数'!$E$24),IF(H394="EO",IF($C$1="预估功能点",'模板使用说明&amp;基础参数'!$E$18,'模板使用说明&amp;基础参数'!$E$25),IF(H394="EQ",IF($C$1="预估功能点",'模板使用说明&amp;基础参数'!$E$19,'模板使用说明&amp;基础参数'!$E$26),"")))))</f>
        <v>4</v>
      </c>
      <c r="J394" s="97" t="s">
        <v>38</v>
      </c>
      <c r="K394" s="97" t="s">
        <v>78</v>
      </c>
      <c r="L394" s="98">
        <f>IF(I394="","",IF(J394="高",IF(K394="删除",I394*'模板使用说明&amp;基础参数'!$E$5*'模板使用说明&amp;基础参数'!$E$12,IF(K394="修改",I394*'模板使用说明&amp;基础参数'!$E$5*'模板使用说明&amp;基础参数'!$E$11,I394*'模板使用说明&amp;基础参数'!$E$5*'模板使用说明&amp;基础参数'!$E$10)),IF(J394="中",IF(K394="删除",I394*'模板使用说明&amp;基础参数'!$E$6*'模板使用说明&amp;基础参数'!$E$12,IF(K394="修改",I394*'模板使用说明&amp;基础参数'!$E$6*'模板使用说明&amp;基础参数'!$E$11,I394*'模板使用说明&amp;基础参数'!$E$6*'模板使用说明&amp;基础参数'!$E$10)),IF(K394="删除",I394*'模板使用说明&amp;基础参数'!$E$7*'模板使用说明&amp;基础参数'!$E$12,IF(K394="修改",I394*'模板使用说明&amp;基础参数'!$E$7*'模板使用说明&amp;基础参数'!$E$11,I394*'模板使用说明&amp;基础参数'!$E$7*'模板使用说明&amp;基础参数'!$E$10)))))</f>
        <v>1.06666666666667</v>
      </c>
      <c r="M394" s="95"/>
      <c r="N394" s="99"/>
      <c r="O394" s="100"/>
    </row>
    <row r="395" s="70" customFormat="1" ht="25" customHeight="1" spans="1:15">
      <c r="A395" s="93">
        <v>390</v>
      </c>
      <c r="B395" s="94" t="s">
        <v>72</v>
      </c>
      <c r="C395" s="95" t="s">
        <v>840</v>
      </c>
      <c r="D395" s="95" t="s">
        <v>841</v>
      </c>
      <c r="E395" s="95" t="s">
        <v>841</v>
      </c>
      <c r="F395" s="95" t="s">
        <v>870</v>
      </c>
      <c r="G395" s="95" t="s">
        <v>871</v>
      </c>
      <c r="H395" s="93" t="s">
        <v>84</v>
      </c>
      <c r="I395" s="96">
        <f>IF(H395="ILF",IF($C$1="预估功能点",'模板使用说明&amp;基础参数'!$E$15,7),IF(H395="EIF",IF($C$1="预估功能点",'模板使用说明&amp;基础参数'!$E$16,5),IF(H395="EI",IF($C$1="预估功能点",'模板使用说明&amp;基础参数'!$E$17,'模板使用说明&amp;基础参数'!$E$24),IF(H395="EO",IF($C$1="预估功能点",'模板使用说明&amp;基础参数'!$E$18,'模板使用说明&amp;基础参数'!$E$25),IF(H395="EQ",IF($C$1="预估功能点",'模板使用说明&amp;基础参数'!$E$19,'模板使用说明&amp;基础参数'!$E$26),"")))))</f>
        <v>4</v>
      </c>
      <c r="J395" s="97" t="s">
        <v>38</v>
      </c>
      <c r="K395" s="97" t="s">
        <v>78</v>
      </c>
      <c r="L395" s="98">
        <f>IF(I395="","",IF(J395="高",IF(K395="删除",I395*'模板使用说明&amp;基础参数'!$E$5*'模板使用说明&amp;基础参数'!$E$12,IF(K395="修改",I395*'模板使用说明&amp;基础参数'!$E$5*'模板使用说明&amp;基础参数'!$E$11,I395*'模板使用说明&amp;基础参数'!$E$5*'模板使用说明&amp;基础参数'!$E$10)),IF(J395="中",IF(K395="删除",I395*'模板使用说明&amp;基础参数'!$E$6*'模板使用说明&amp;基础参数'!$E$12,IF(K395="修改",I395*'模板使用说明&amp;基础参数'!$E$6*'模板使用说明&amp;基础参数'!$E$11,I395*'模板使用说明&amp;基础参数'!$E$6*'模板使用说明&amp;基础参数'!$E$10)),IF(K395="删除",I395*'模板使用说明&amp;基础参数'!$E$7*'模板使用说明&amp;基础参数'!$E$12,IF(K395="修改",I395*'模板使用说明&amp;基础参数'!$E$7*'模板使用说明&amp;基础参数'!$E$11,I395*'模板使用说明&amp;基础参数'!$E$7*'模板使用说明&amp;基础参数'!$E$10)))))</f>
        <v>1.06666666666667</v>
      </c>
      <c r="M395" s="95"/>
      <c r="N395" s="99"/>
      <c r="O395" s="100"/>
    </row>
    <row r="396" s="70" customFormat="1" ht="25" customHeight="1" spans="1:15">
      <c r="A396" s="93">
        <v>391</v>
      </c>
      <c r="B396" s="94" t="s">
        <v>72</v>
      </c>
      <c r="C396" s="95" t="s">
        <v>840</v>
      </c>
      <c r="D396" s="95" t="s">
        <v>841</v>
      </c>
      <c r="E396" s="95" t="s">
        <v>841</v>
      </c>
      <c r="F396" s="95" t="s">
        <v>872</v>
      </c>
      <c r="G396" s="95" t="s">
        <v>873</v>
      </c>
      <c r="H396" s="93" t="s">
        <v>77</v>
      </c>
      <c r="I396" s="96">
        <f>IF(H396="ILF",IF($C$1="预估功能点",'模板使用说明&amp;基础参数'!$E$15,7),IF(H396="EIF",IF($C$1="预估功能点",'模板使用说明&amp;基础参数'!$E$16,5),IF(H396="EI",IF($C$1="预估功能点",'模板使用说明&amp;基础参数'!$E$17,'模板使用说明&amp;基础参数'!$E$24),IF(H396="EO",IF($C$1="预估功能点",'模板使用说明&amp;基础参数'!$E$18,'模板使用说明&amp;基础参数'!$E$25),IF(H396="EQ",IF($C$1="预估功能点",'模板使用说明&amp;基础参数'!$E$19,'模板使用说明&amp;基础参数'!$E$26),"")))))</f>
        <v>7</v>
      </c>
      <c r="J396" s="97" t="s">
        <v>38</v>
      </c>
      <c r="K396" s="97" t="s">
        <v>78</v>
      </c>
      <c r="L396" s="98">
        <f>IF(I396="","",IF(J396="高",IF(K396="删除",I396*'模板使用说明&amp;基础参数'!$E$5*'模板使用说明&amp;基础参数'!$E$12,IF(K396="修改",I396*'模板使用说明&amp;基础参数'!$E$5*'模板使用说明&amp;基础参数'!$E$11,I396*'模板使用说明&amp;基础参数'!$E$5*'模板使用说明&amp;基础参数'!$E$10)),IF(J396="中",IF(K396="删除",I396*'模板使用说明&amp;基础参数'!$E$6*'模板使用说明&amp;基础参数'!$E$12,IF(K396="修改",I396*'模板使用说明&amp;基础参数'!$E$6*'模板使用说明&amp;基础参数'!$E$11,I396*'模板使用说明&amp;基础参数'!$E$6*'模板使用说明&amp;基础参数'!$E$10)),IF(K396="删除",I396*'模板使用说明&amp;基础参数'!$E$7*'模板使用说明&amp;基础参数'!$E$12,IF(K396="修改",I396*'模板使用说明&amp;基础参数'!$E$7*'模板使用说明&amp;基础参数'!$E$11,I396*'模板使用说明&amp;基础参数'!$E$7*'模板使用说明&amp;基础参数'!$E$10)))))</f>
        <v>1.86666666666666</v>
      </c>
      <c r="M396" s="95"/>
      <c r="N396" s="99"/>
      <c r="O396" s="100"/>
    </row>
    <row r="397" s="70" customFormat="1" ht="25" customHeight="1" spans="1:15">
      <c r="A397" s="93">
        <v>392</v>
      </c>
      <c r="B397" s="94" t="s">
        <v>72</v>
      </c>
      <c r="C397" s="95" t="s">
        <v>840</v>
      </c>
      <c r="D397" s="95" t="s">
        <v>841</v>
      </c>
      <c r="E397" s="95" t="s">
        <v>841</v>
      </c>
      <c r="F397" s="95" t="s">
        <v>874</v>
      </c>
      <c r="G397" s="95" t="s">
        <v>875</v>
      </c>
      <c r="H397" s="93" t="s">
        <v>81</v>
      </c>
      <c r="I397" s="96">
        <f>IF(H397="ILF",IF($C$1="预估功能点",'模板使用说明&amp;基础参数'!$E$15,7),IF(H397="EIF",IF($C$1="预估功能点",'模板使用说明&amp;基础参数'!$E$16,5),IF(H397="EI",IF($C$1="预估功能点",'模板使用说明&amp;基础参数'!$E$17,'模板使用说明&amp;基础参数'!$E$24),IF(H397="EO",IF($C$1="预估功能点",'模板使用说明&amp;基础参数'!$E$18,'模板使用说明&amp;基础参数'!$E$25),IF(H397="EQ",IF($C$1="预估功能点",'模板使用说明&amp;基础参数'!$E$19,'模板使用说明&amp;基础参数'!$E$26),"")))))</f>
        <v>4</v>
      </c>
      <c r="J397" s="97" t="s">
        <v>38</v>
      </c>
      <c r="K397" s="97" t="s">
        <v>78</v>
      </c>
      <c r="L397" s="98">
        <f>IF(I397="","",IF(J397="高",IF(K397="删除",I397*'模板使用说明&amp;基础参数'!$E$5*'模板使用说明&amp;基础参数'!$E$12,IF(K397="修改",I397*'模板使用说明&amp;基础参数'!$E$5*'模板使用说明&amp;基础参数'!$E$11,I397*'模板使用说明&amp;基础参数'!$E$5*'模板使用说明&amp;基础参数'!$E$10)),IF(J397="中",IF(K397="删除",I397*'模板使用说明&amp;基础参数'!$E$6*'模板使用说明&amp;基础参数'!$E$12,IF(K397="修改",I397*'模板使用说明&amp;基础参数'!$E$6*'模板使用说明&amp;基础参数'!$E$11,I397*'模板使用说明&amp;基础参数'!$E$6*'模板使用说明&amp;基础参数'!$E$10)),IF(K397="删除",I397*'模板使用说明&amp;基础参数'!$E$7*'模板使用说明&amp;基础参数'!$E$12,IF(K397="修改",I397*'模板使用说明&amp;基础参数'!$E$7*'模板使用说明&amp;基础参数'!$E$11,I397*'模板使用说明&amp;基础参数'!$E$7*'模板使用说明&amp;基础参数'!$E$10)))))</f>
        <v>1.06666666666667</v>
      </c>
      <c r="M397" s="95"/>
      <c r="N397" s="99"/>
      <c r="O397" s="100"/>
    </row>
    <row r="398" s="70" customFormat="1" ht="25" customHeight="1" spans="1:15">
      <c r="A398" s="93">
        <v>393</v>
      </c>
      <c r="B398" s="94" t="s">
        <v>72</v>
      </c>
      <c r="C398" s="95" t="s">
        <v>840</v>
      </c>
      <c r="D398" s="95" t="s">
        <v>841</v>
      </c>
      <c r="E398" s="95" t="s">
        <v>841</v>
      </c>
      <c r="F398" s="95" t="s">
        <v>876</v>
      </c>
      <c r="G398" s="95" t="s">
        <v>877</v>
      </c>
      <c r="H398" s="93" t="s">
        <v>84</v>
      </c>
      <c r="I398" s="96">
        <f>IF(H398="ILF",IF($C$1="预估功能点",'模板使用说明&amp;基础参数'!$E$15,7),IF(H398="EIF",IF($C$1="预估功能点",'模板使用说明&amp;基础参数'!$E$16,5),IF(H398="EI",IF($C$1="预估功能点",'模板使用说明&amp;基础参数'!$E$17,'模板使用说明&amp;基础参数'!$E$24),IF(H398="EO",IF($C$1="预估功能点",'模板使用说明&amp;基础参数'!$E$18,'模板使用说明&amp;基础参数'!$E$25),IF(H398="EQ",IF($C$1="预估功能点",'模板使用说明&amp;基础参数'!$E$19,'模板使用说明&amp;基础参数'!$E$26),"")))))</f>
        <v>4</v>
      </c>
      <c r="J398" s="97" t="s">
        <v>38</v>
      </c>
      <c r="K398" s="97" t="s">
        <v>78</v>
      </c>
      <c r="L398" s="98">
        <f>IF(I398="","",IF(J398="高",IF(K398="删除",I398*'模板使用说明&amp;基础参数'!$E$5*'模板使用说明&amp;基础参数'!$E$12,IF(K398="修改",I398*'模板使用说明&amp;基础参数'!$E$5*'模板使用说明&amp;基础参数'!$E$11,I398*'模板使用说明&amp;基础参数'!$E$5*'模板使用说明&amp;基础参数'!$E$10)),IF(J398="中",IF(K398="删除",I398*'模板使用说明&amp;基础参数'!$E$6*'模板使用说明&amp;基础参数'!$E$12,IF(K398="修改",I398*'模板使用说明&amp;基础参数'!$E$6*'模板使用说明&amp;基础参数'!$E$11,I398*'模板使用说明&amp;基础参数'!$E$6*'模板使用说明&amp;基础参数'!$E$10)),IF(K398="删除",I398*'模板使用说明&amp;基础参数'!$E$7*'模板使用说明&amp;基础参数'!$E$12,IF(K398="修改",I398*'模板使用说明&amp;基础参数'!$E$7*'模板使用说明&amp;基础参数'!$E$11,I398*'模板使用说明&amp;基础参数'!$E$7*'模板使用说明&amp;基础参数'!$E$10)))))</f>
        <v>1.06666666666667</v>
      </c>
      <c r="M398" s="95"/>
      <c r="N398" s="99"/>
      <c r="O398" s="100"/>
    </row>
    <row r="399" s="70" customFormat="1" ht="25" customHeight="1" spans="1:15">
      <c r="A399" s="93">
        <v>394</v>
      </c>
      <c r="B399" s="94" t="s">
        <v>72</v>
      </c>
      <c r="C399" s="95" t="s">
        <v>840</v>
      </c>
      <c r="D399" s="95" t="s">
        <v>841</v>
      </c>
      <c r="E399" s="95" t="s">
        <v>841</v>
      </c>
      <c r="F399" s="95" t="s">
        <v>878</v>
      </c>
      <c r="G399" s="95" t="s">
        <v>879</v>
      </c>
      <c r="H399" s="93" t="s">
        <v>84</v>
      </c>
      <c r="I399" s="96">
        <f>IF(H399="ILF",IF($C$1="预估功能点",'模板使用说明&amp;基础参数'!$E$15,7),IF(H399="EIF",IF($C$1="预估功能点",'模板使用说明&amp;基础参数'!$E$16,5),IF(H399="EI",IF($C$1="预估功能点",'模板使用说明&amp;基础参数'!$E$17,'模板使用说明&amp;基础参数'!$E$24),IF(H399="EO",IF($C$1="预估功能点",'模板使用说明&amp;基础参数'!$E$18,'模板使用说明&amp;基础参数'!$E$25),IF(H399="EQ",IF($C$1="预估功能点",'模板使用说明&amp;基础参数'!$E$19,'模板使用说明&amp;基础参数'!$E$26),"")))))</f>
        <v>4</v>
      </c>
      <c r="J399" s="97" t="s">
        <v>38</v>
      </c>
      <c r="K399" s="97" t="s">
        <v>78</v>
      </c>
      <c r="L399" s="98">
        <f>IF(I399="","",IF(J399="高",IF(K399="删除",I399*'模板使用说明&amp;基础参数'!$E$5*'模板使用说明&amp;基础参数'!$E$12,IF(K399="修改",I399*'模板使用说明&amp;基础参数'!$E$5*'模板使用说明&amp;基础参数'!$E$11,I399*'模板使用说明&amp;基础参数'!$E$5*'模板使用说明&amp;基础参数'!$E$10)),IF(J399="中",IF(K399="删除",I399*'模板使用说明&amp;基础参数'!$E$6*'模板使用说明&amp;基础参数'!$E$12,IF(K399="修改",I399*'模板使用说明&amp;基础参数'!$E$6*'模板使用说明&amp;基础参数'!$E$11,I399*'模板使用说明&amp;基础参数'!$E$6*'模板使用说明&amp;基础参数'!$E$10)),IF(K399="删除",I399*'模板使用说明&amp;基础参数'!$E$7*'模板使用说明&amp;基础参数'!$E$12,IF(K399="修改",I399*'模板使用说明&amp;基础参数'!$E$7*'模板使用说明&amp;基础参数'!$E$11,I399*'模板使用说明&amp;基础参数'!$E$7*'模板使用说明&amp;基础参数'!$E$10)))))</f>
        <v>1.06666666666667</v>
      </c>
      <c r="M399" s="95"/>
      <c r="N399" s="99"/>
      <c r="O399" s="100"/>
    </row>
    <row r="400" s="70" customFormat="1" ht="25" customHeight="1" spans="1:15">
      <c r="A400" s="93">
        <v>395</v>
      </c>
      <c r="B400" s="94" t="s">
        <v>72</v>
      </c>
      <c r="C400" s="95" t="s">
        <v>840</v>
      </c>
      <c r="D400" s="95" t="s">
        <v>841</v>
      </c>
      <c r="E400" s="95" t="s">
        <v>841</v>
      </c>
      <c r="F400" s="95" t="s">
        <v>880</v>
      </c>
      <c r="G400" s="95" t="s">
        <v>881</v>
      </c>
      <c r="H400" s="93" t="s">
        <v>84</v>
      </c>
      <c r="I400" s="96">
        <f>IF(H400="ILF",IF($C$1="预估功能点",'模板使用说明&amp;基础参数'!$E$15,7),IF(H400="EIF",IF($C$1="预估功能点",'模板使用说明&amp;基础参数'!$E$16,5),IF(H400="EI",IF($C$1="预估功能点",'模板使用说明&amp;基础参数'!$E$17,'模板使用说明&amp;基础参数'!$E$24),IF(H400="EO",IF($C$1="预估功能点",'模板使用说明&amp;基础参数'!$E$18,'模板使用说明&amp;基础参数'!$E$25),IF(H400="EQ",IF($C$1="预估功能点",'模板使用说明&amp;基础参数'!$E$19,'模板使用说明&amp;基础参数'!$E$26),"")))))</f>
        <v>4</v>
      </c>
      <c r="J400" s="97" t="s">
        <v>38</v>
      </c>
      <c r="K400" s="97" t="s">
        <v>78</v>
      </c>
      <c r="L400" s="98">
        <f>IF(I400="","",IF(J400="高",IF(K400="删除",I400*'模板使用说明&amp;基础参数'!$E$5*'模板使用说明&amp;基础参数'!$E$12,IF(K400="修改",I400*'模板使用说明&amp;基础参数'!$E$5*'模板使用说明&amp;基础参数'!$E$11,I400*'模板使用说明&amp;基础参数'!$E$5*'模板使用说明&amp;基础参数'!$E$10)),IF(J400="中",IF(K400="删除",I400*'模板使用说明&amp;基础参数'!$E$6*'模板使用说明&amp;基础参数'!$E$12,IF(K400="修改",I400*'模板使用说明&amp;基础参数'!$E$6*'模板使用说明&amp;基础参数'!$E$11,I400*'模板使用说明&amp;基础参数'!$E$6*'模板使用说明&amp;基础参数'!$E$10)),IF(K400="删除",I400*'模板使用说明&amp;基础参数'!$E$7*'模板使用说明&amp;基础参数'!$E$12,IF(K400="修改",I400*'模板使用说明&amp;基础参数'!$E$7*'模板使用说明&amp;基础参数'!$E$11,I400*'模板使用说明&amp;基础参数'!$E$7*'模板使用说明&amp;基础参数'!$E$10)))))</f>
        <v>1.06666666666667</v>
      </c>
      <c r="M400" s="95"/>
      <c r="N400" s="99"/>
      <c r="O400" s="100"/>
    </row>
    <row r="401" s="70" customFormat="1" ht="25" customHeight="1" spans="1:15">
      <c r="A401" s="93">
        <v>396</v>
      </c>
      <c r="B401" s="94" t="s">
        <v>72</v>
      </c>
      <c r="C401" s="95" t="s">
        <v>840</v>
      </c>
      <c r="D401" s="95" t="s">
        <v>841</v>
      </c>
      <c r="E401" s="95" t="s">
        <v>841</v>
      </c>
      <c r="F401" s="95" t="s">
        <v>882</v>
      </c>
      <c r="G401" s="95" t="s">
        <v>883</v>
      </c>
      <c r="H401" s="93" t="s">
        <v>77</v>
      </c>
      <c r="I401" s="96">
        <f>IF(H401="ILF",IF($C$1="预估功能点",'模板使用说明&amp;基础参数'!$E$15,7),IF(H401="EIF",IF($C$1="预估功能点",'模板使用说明&amp;基础参数'!$E$16,5),IF(H401="EI",IF($C$1="预估功能点",'模板使用说明&amp;基础参数'!$E$17,'模板使用说明&amp;基础参数'!$E$24),IF(H401="EO",IF($C$1="预估功能点",'模板使用说明&amp;基础参数'!$E$18,'模板使用说明&amp;基础参数'!$E$25),IF(H401="EQ",IF($C$1="预估功能点",'模板使用说明&amp;基础参数'!$E$19,'模板使用说明&amp;基础参数'!$E$26),"")))))</f>
        <v>7</v>
      </c>
      <c r="J401" s="97" t="s">
        <v>38</v>
      </c>
      <c r="K401" s="97" t="s">
        <v>78</v>
      </c>
      <c r="L401" s="98">
        <f>IF(I401="","",IF(J401="高",IF(K401="删除",I401*'模板使用说明&amp;基础参数'!$E$5*'模板使用说明&amp;基础参数'!$E$12,IF(K401="修改",I401*'模板使用说明&amp;基础参数'!$E$5*'模板使用说明&amp;基础参数'!$E$11,I401*'模板使用说明&amp;基础参数'!$E$5*'模板使用说明&amp;基础参数'!$E$10)),IF(J401="中",IF(K401="删除",I401*'模板使用说明&amp;基础参数'!$E$6*'模板使用说明&amp;基础参数'!$E$12,IF(K401="修改",I401*'模板使用说明&amp;基础参数'!$E$6*'模板使用说明&amp;基础参数'!$E$11,I401*'模板使用说明&amp;基础参数'!$E$6*'模板使用说明&amp;基础参数'!$E$10)),IF(K401="删除",I401*'模板使用说明&amp;基础参数'!$E$7*'模板使用说明&amp;基础参数'!$E$12,IF(K401="修改",I401*'模板使用说明&amp;基础参数'!$E$7*'模板使用说明&amp;基础参数'!$E$11,I401*'模板使用说明&amp;基础参数'!$E$7*'模板使用说明&amp;基础参数'!$E$10)))))</f>
        <v>1.86666666666666</v>
      </c>
      <c r="M401" s="95"/>
      <c r="N401" s="99"/>
      <c r="O401" s="100"/>
    </row>
    <row r="402" s="70" customFormat="1" ht="25" customHeight="1" spans="1:15">
      <c r="A402" s="93">
        <v>397</v>
      </c>
      <c r="B402" s="94" t="s">
        <v>72</v>
      </c>
      <c r="C402" s="95" t="s">
        <v>840</v>
      </c>
      <c r="D402" s="95" t="s">
        <v>841</v>
      </c>
      <c r="E402" s="95" t="s">
        <v>841</v>
      </c>
      <c r="F402" s="95" t="s">
        <v>884</v>
      </c>
      <c r="G402" s="95" t="s">
        <v>885</v>
      </c>
      <c r="H402" s="93" t="s">
        <v>81</v>
      </c>
      <c r="I402" s="96">
        <f>IF(H402="ILF",IF($C$1="预估功能点",'模板使用说明&amp;基础参数'!$E$15,7),IF(H402="EIF",IF($C$1="预估功能点",'模板使用说明&amp;基础参数'!$E$16,5),IF(H402="EI",IF($C$1="预估功能点",'模板使用说明&amp;基础参数'!$E$17,'模板使用说明&amp;基础参数'!$E$24),IF(H402="EO",IF($C$1="预估功能点",'模板使用说明&amp;基础参数'!$E$18,'模板使用说明&amp;基础参数'!$E$25),IF(H402="EQ",IF($C$1="预估功能点",'模板使用说明&amp;基础参数'!$E$19,'模板使用说明&amp;基础参数'!$E$26),"")))))</f>
        <v>4</v>
      </c>
      <c r="J402" s="97" t="s">
        <v>38</v>
      </c>
      <c r="K402" s="97" t="s">
        <v>78</v>
      </c>
      <c r="L402" s="98">
        <f>IF(I402="","",IF(J402="高",IF(K402="删除",I402*'模板使用说明&amp;基础参数'!$E$5*'模板使用说明&amp;基础参数'!$E$12,IF(K402="修改",I402*'模板使用说明&amp;基础参数'!$E$5*'模板使用说明&amp;基础参数'!$E$11,I402*'模板使用说明&amp;基础参数'!$E$5*'模板使用说明&amp;基础参数'!$E$10)),IF(J402="中",IF(K402="删除",I402*'模板使用说明&amp;基础参数'!$E$6*'模板使用说明&amp;基础参数'!$E$12,IF(K402="修改",I402*'模板使用说明&amp;基础参数'!$E$6*'模板使用说明&amp;基础参数'!$E$11,I402*'模板使用说明&amp;基础参数'!$E$6*'模板使用说明&amp;基础参数'!$E$10)),IF(K402="删除",I402*'模板使用说明&amp;基础参数'!$E$7*'模板使用说明&amp;基础参数'!$E$12,IF(K402="修改",I402*'模板使用说明&amp;基础参数'!$E$7*'模板使用说明&amp;基础参数'!$E$11,I402*'模板使用说明&amp;基础参数'!$E$7*'模板使用说明&amp;基础参数'!$E$10)))))</f>
        <v>1.06666666666667</v>
      </c>
      <c r="M402" s="95"/>
      <c r="N402" s="99"/>
      <c r="O402" s="100"/>
    </row>
    <row r="403" s="70" customFormat="1" ht="25" customHeight="1" spans="1:15">
      <c r="A403" s="93">
        <v>398</v>
      </c>
      <c r="B403" s="94" t="s">
        <v>72</v>
      </c>
      <c r="C403" s="95" t="s">
        <v>840</v>
      </c>
      <c r="D403" s="95" t="s">
        <v>841</v>
      </c>
      <c r="E403" s="95" t="s">
        <v>841</v>
      </c>
      <c r="F403" s="95" t="s">
        <v>886</v>
      </c>
      <c r="G403" s="95" t="s">
        <v>887</v>
      </c>
      <c r="H403" s="93" t="s">
        <v>84</v>
      </c>
      <c r="I403" s="96">
        <f>IF(H403="ILF",IF($C$1="预估功能点",'模板使用说明&amp;基础参数'!$E$15,7),IF(H403="EIF",IF($C$1="预估功能点",'模板使用说明&amp;基础参数'!$E$16,5),IF(H403="EI",IF($C$1="预估功能点",'模板使用说明&amp;基础参数'!$E$17,'模板使用说明&amp;基础参数'!$E$24),IF(H403="EO",IF($C$1="预估功能点",'模板使用说明&amp;基础参数'!$E$18,'模板使用说明&amp;基础参数'!$E$25),IF(H403="EQ",IF($C$1="预估功能点",'模板使用说明&amp;基础参数'!$E$19,'模板使用说明&amp;基础参数'!$E$26),"")))))</f>
        <v>4</v>
      </c>
      <c r="J403" s="97" t="s">
        <v>38</v>
      </c>
      <c r="K403" s="97" t="s">
        <v>78</v>
      </c>
      <c r="L403" s="98">
        <f>IF(I403="","",IF(J403="高",IF(K403="删除",I403*'模板使用说明&amp;基础参数'!$E$5*'模板使用说明&amp;基础参数'!$E$12,IF(K403="修改",I403*'模板使用说明&amp;基础参数'!$E$5*'模板使用说明&amp;基础参数'!$E$11,I403*'模板使用说明&amp;基础参数'!$E$5*'模板使用说明&amp;基础参数'!$E$10)),IF(J403="中",IF(K403="删除",I403*'模板使用说明&amp;基础参数'!$E$6*'模板使用说明&amp;基础参数'!$E$12,IF(K403="修改",I403*'模板使用说明&amp;基础参数'!$E$6*'模板使用说明&amp;基础参数'!$E$11,I403*'模板使用说明&amp;基础参数'!$E$6*'模板使用说明&amp;基础参数'!$E$10)),IF(K403="删除",I403*'模板使用说明&amp;基础参数'!$E$7*'模板使用说明&amp;基础参数'!$E$12,IF(K403="修改",I403*'模板使用说明&amp;基础参数'!$E$7*'模板使用说明&amp;基础参数'!$E$11,I403*'模板使用说明&amp;基础参数'!$E$7*'模板使用说明&amp;基础参数'!$E$10)))))</f>
        <v>1.06666666666667</v>
      </c>
      <c r="M403" s="95"/>
      <c r="N403" s="99"/>
      <c r="O403" s="100"/>
    </row>
    <row r="404" s="70" customFormat="1" ht="25" customHeight="1" spans="1:15">
      <c r="A404" s="93">
        <v>399</v>
      </c>
      <c r="B404" s="94" t="s">
        <v>72</v>
      </c>
      <c r="C404" s="95" t="s">
        <v>840</v>
      </c>
      <c r="D404" s="95" t="s">
        <v>841</v>
      </c>
      <c r="E404" s="95" t="s">
        <v>841</v>
      </c>
      <c r="F404" s="95" t="s">
        <v>888</v>
      </c>
      <c r="G404" s="95" t="s">
        <v>889</v>
      </c>
      <c r="H404" s="93" t="s">
        <v>84</v>
      </c>
      <c r="I404" s="96">
        <f>IF(H404="ILF",IF($C$1="预估功能点",'模板使用说明&amp;基础参数'!$E$15,7),IF(H404="EIF",IF($C$1="预估功能点",'模板使用说明&amp;基础参数'!$E$16,5),IF(H404="EI",IF($C$1="预估功能点",'模板使用说明&amp;基础参数'!$E$17,'模板使用说明&amp;基础参数'!$E$24),IF(H404="EO",IF($C$1="预估功能点",'模板使用说明&amp;基础参数'!$E$18,'模板使用说明&amp;基础参数'!$E$25),IF(H404="EQ",IF($C$1="预估功能点",'模板使用说明&amp;基础参数'!$E$19,'模板使用说明&amp;基础参数'!$E$26),"")))))</f>
        <v>4</v>
      </c>
      <c r="J404" s="97" t="s">
        <v>38</v>
      </c>
      <c r="K404" s="97" t="s">
        <v>78</v>
      </c>
      <c r="L404" s="98">
        <f>IF(I404="","",IF(J404="高",IF(K404="删除",I404*'模板使用说明&amp;基础参数'!$E$5*'模板使用说明&amp;基础参数'!$E$12,IF(K404="修改",I404*'模板使用说明&amp;基础参数'!$E$5*'模板使用说明&amp;基础参数'!$E$11,I404*'模板使用说明&amp;基础参数'!$E$5*'模板使用说明&amp;基础参数'!$E$10)),IF(J404="中",IF(K404="删除",I404*'模板使用说明&amp;基础参数'!$E$6*'模板使用说明&amp;基础参数'!$E$12,IF(K404="修改",I404*'模板使用说明&amp;基础参数'!$E$6*'模板使用说明&amp;基础参数'!$E$11,I404*'模板使用说明&amp;基础参数'!$E$6*'模板使用说明&amp;基础参数'!$E$10)),IF(K404="删除",I404*'模板使用说明&amp;基础参数'!$E$7*'模板使用说明&amp;基础参数'!$E$12,IF(K404="修改",I404*'模板使用说明&amp;基础参数'!$E$7*'模板使用说明&amp;基础参数'!$E$11,I404*'模板使用说明&amp;基础参数'!$E$7*'模板使用说明&amp;基础参数'!$E$10)))))</f>
        <v>1.06666666666667</v>
      </c>
      <c r="M404" s="95"/>
      <c r="N404" s="99"/>
      <c r="O404" s="100"/>
    </row>
    <row r="405" s="70" customFormat="1" ht="25" customHeight="1" spans="1:15">
      <c r="A405" s="93">
        <v>400</v>
      </c>
      <c r="B405" s="94" t="s">
        <v>72</v>
      </c>
      <c r="C405" s="95" t="s">
        <v>840</v>
      </c>
      <c r="D405" s="95" t="s">
        <v>841</v>
      </c>
      <c r="E405" s="95" t="s">
        <v>841</v>
      </c>
      <c r="F405" s="95" t="s">
        <v>890</v>
      </c>
      <c r="G405" s="95" t="s">
        <v>891</v>
      </c>
      <c r="H405" s="93" t="s">
        <v>84</v>
      </c>
      <c r="I405" s="96">
        <f>IF(H405="ILF",IF($C$1="预估功能点",'模板使用说明&amp;基础参数'!$E$15,7),IF(H405="EIF",IF($C$1="预估功能点",'模板使用说明&amp;基础参数'!$E$16,5),IF(H405="EI",IF($C$1="预估功能点",'模板使用说明&amp;基础参数'!$E$17,'模板使用说明&amp;基础参数'!$E$24),IF(H405="EO",IF($C$1="预估功能点",'模板使用说明&amp;基础参数'!$E$18,'模板使用说明&amp;基础参数'!$E$25),IF(H405="EQ",IF($C$1="预估功能点",'模板使用说明&amp;基础参数'!$E$19,'模板使用说明&amp;基础参数'!$E$26),"")))))</f>
        <v>4</v>
      </c>
      <c r="J405" s="97" t="s">
        <v>38</v>
      </c>
      <c r="K405" s="97" t="s">
        <v>78</v>
      </c>
      <c r="L405" s="98">
        <f>IF(I405="","",IF(J405="高",IF(K405="删除",I405*'模板使用说明&amp;基础参数'!$E$5*'模板使用说明&amp;基础参数'!$E$12,IF(K405="修改",I405*'模板使用说明&amp;基础参数'!$E$5*'模板使用说明&amp;基础参数'!$E$11,I405*'模板使用说明&amp;基础参数'!$E$5*'模板使用说明&amp;基础参数'!$E$10)),IF(J405="中",IF(K405="删除",I405*'模板使用说明&amp;基础参数'!$E$6*'模板使用说明&amp;基础参数'!$E$12,IF(K405="修改",I405*'模板使用说明&amp;基础参数'!$E$6*'模板使用说明&amp;基础参数'!$E$11,I405*'模板使用说明&amp;基础参数'!$E$6*'模板使用说明&amp;基础参数'!$E$10)),IF(K405="删除",I405*'模板使用说明&amp;基础参数'!$E$7*'模板使用说明&amp;基础参数'!$E$12,IF(K405="修改",I405*'模板使用说明&amp;基础参数'!$E$7*'模板使用说明&amp;基础参数'!$E$11,I405*'模板使用说明&amp;基础参数'!$E$7*'模板使用说明&amp;基础参数'!$E$10)))))</f>
        <v>1.06666666666667</v>
      </c>
      <c r="M405" s="95"/>
      <c r="N405" s="99"/>
      <c r="O405" s="100"/>
    </row>
    <row r="406" s="70" customFormat="1" ht="25" customHeight="1" spans="1:15">
      <c r="A406" s="93">
        <v>401</v>
      </c>
      <c r="B406" s="94" t="s">
        <v>72</v>
      </c>
      <c r="C406" s="95" t="s">
        <v>840</v>
      </c>
      <c r="D406" s="95" t="s">
        <v>841</v>
      </c>
      <c r="E406" s="95" t="s">
        <v>841</v>
      </c>
      <c r="F406" s="95" t="s">
        <v>892</v>
      </c>
      <c r="G406" s="95" t="s">
        <v>893</v>
      </c>
      <c r="H406" s="93" t="s">
        <v>77</v>
      </c>
      <c r="I406" s="96">
        <f>IF(H406="ILF",IF($C$1="预估功能点",'模板使用说明&amp;基础参数'!$E$15,7),IF(H406="EIF",IF($C$1="预估功能点",'模板使用说明&amp;基础参数'!$E$16,5),IF(H406="EI",IF($C$1="预估功能点",'模板使用说明&amp;基础参数'!$E$17,'模板使用说明&amp;基础参数'!$E$24),IF(H406="EO",IF($C$1="预估功能点",'模板使用说明&amp;基础参数'!$E$18,'模板使用说明&amp;基础参数'!$E$25),IF(H406="EQ",IF($C$1="预估功能点",'模板使用说明&amp;基础参数'!$E$19,'模板使用说明&amp;基础参数'!$E$26),"")))))</f>
        <v>7</v>
      </c>
      <c r="J406" s="97" t="s">
        <v>38</v>
      </c>
      <c r="K406" s="97" t="s">
        <v>78</v>
      </c>
      <c r="L406" s="98">
        <f>IF(I406="","",IF(J406="高",IF(K406="删除",I406*'模板使用说明&amp;基础参数'!$E$5*'模板使用说明&amp;基础参数'!$E$12,IF(K406="修改",I406*'模板使用说明&amp;基础参数'!$E$5*'模板使用说明&amp;基础参数'!$E$11,I406*'模板使用说明&amp;基础参数'!$E$5*'模板使用说明&amp;基础参数'!$E$10)),IF(J406="中",IF(K406="删除",I406*'模板使用说明&amp;基础参数'!$E$6*'模板使用说明&amp;基础参数'!$E$12,IF(K406="修改",I406*'模板使用说明&amp;基础参数'!$E$6*'模板使用说明&amp;基础参数'!$E$11,I406*'模板使用说明&amp;基础参数'!$E$6*'模板使用说明&amp;基础参数'!$E$10)),IF(K406="删除",I406*'模板使用说明&amp;基础参数'!$E$7*'模板使用说明&amp;基础参数'!$E$12,IF(K406="修改",I406*'模板使用说明&amp;基础参数'!$E$7*'模板使用说明&amp;基础参数'!$E$11,I406*'模板使用说明&amp;基础参数'!$E$7*'模板使用说明&amp;基础参数'!$E$10)))))</f>
        <v>1.86666666666666</v>
      </c>
      <c r="M406" s="95"/>
      <c r="N406" s="99"/>
      <c r="O406" s="100"/>
    </row>
    <row r="407" s="70" customFormat="1" ht="25" customHeight="1" spans="1:15">
      <c r="A407" s="93">
        <v>402</v>
      </c>
      <c r="B407" s="94" t="s">
        <v>72</v>
      </c>
      <c r="C407" s="95" t="s">
        <v>840</v>
      </c>
      <c r="D407" s="95" t="s">
        <v>841</v>
      </c>
      <c r="E407" s="95" t="s">
        <v>841</v>
      </c>
      <c r="F407" s="95" t="s">
        <v>894</v>
      </c>
      <c r="G407" s="95" t="s">
        <v>895</v>
      </c>
      <c r="H407" s="93" t="s">
        <v>81</v>
      </c>
      <c r="I407" s="96">
        <f>IF(H407="ILF",IF($C$1="预估功能点",'模板使用说明&amp;基础参数'!$E$15,7),IF(H407="EIF",IF($C$1="预估功能点",'模板使用说明&amp;基础参数'!$E$16,5),IF(H407="EI",IF($C$1="预估功能点",'模板使用说明&amp;基础参数'!$E$17,'模板使用说明&amp;基础参数'!$E$24),IF(H407="EO",IF($C$1="预估功能点",'模板使用说明&amp;基础参数'!$E$18,'模板使用说明&amp;基础参数'!$E$25),IF(H407="EQ",IF($C$1="预估功能点",'模板使用说明&amp;基础参数'!$E$19,'模板使用说明&amp;基础参数'!$E$26),"")))))</f>
        <v>4</v>
      </c>
      <c r="J407" s="97" t="s">
        <v>38</v>
      </c>
      <c r="K407" s="97" t="s">
        <v>78</v>
      </c>
      <c r="L407" s="98">
        <f>IF(I407="","",IF(J407="高",IF(K407="删除",I407*'模板使用说明&amp;基础参数'!$E$5*'模板使用说明&amp;基础参数'!$E$12,IF(K407="修改",I407*'模板使用说明&amp;基础参数'!$E$5*'模板使用说明&amp;基础参数'!$E$11,I407*'模板使用说明&amp;基础参数'!$E$5*'模板使用说明&amp;基础参数'!$E$10)),IF(J407="中",IF(K407="删除",I407*'模板使用说明&amp;基础参数'!$E$6*'模板使用说明&amp;基础参数'!$E$12,IF(K407="修改",I407*'模板使用说明&amp;基础参数'!$E$6*'模板使用说明&amp;基础参数'!$E$11,I407*'模板使用说明&amp;基础参数'!$E$6*'模板使用说明&amp;基础参数'!$E$10)),IF(K407="删除",I407*'模板使用说明&amp;基础参数'!$E$7*'模板使用说明&amp;基础参数'!$E$12,IF(K407="修改",I407*'模板使用说明&amp;基础参数'!$E$7*'模板使用说明&amp;基础参数'!$E$11,I407*'模板使用说明&amp;基础参数'!$E$7*'模板使用说明&amp;基础参数'!$E$10)))))</f>
        <v>1.06666666666667</v>
      </c>
      <c r="M407" s="95"/>
      <c r="N407" s="99"/>
      <c r="O407" s="100"/>
    </row>
    <row r="408" s="70" customFormat="1" ht="25" customHeight="1" spans="1:15">
      <c r="A408" s="93">
        <v>403</v>
      </c>
      <c r="B408" s="94" t="s">
        <v>72</v>
      </c>
      <c r="C408" s="95" t="s">
        <v>840</v>
      </c>
      <c r="D408" s="95" t="s">
        <v>841</v>
      </c>
      <c r="E408" s="95" t="s">
        <v>841</v>
      </c>
      <c r="F408" s="95" t="s">
        <v>896</v>
      </c>
      <c r="G408" s="95" t="s">
        <v>897</v>
      </c>
      <c r="H408" s="93" t="s">
        <v>84</v>
      </c>
      <c r="I408" s="96">
        <f>IF(H408="ILF",IF($C$1="预估功能点",'模板使用说明&amp;基础参数'!$E$15,7),IF(H408="EIF",IF($C$1="预估功能点",'模板使用说明&amp;基础参数'!$E$16,5),IF(H408="EI",IF($C$1="预估功能点",'模板使用说明&amp;基础参数'!$E$17,'模板使用说明&amp;基础参数'!$E$24),IF(H408="EO",IF($C$1="预估功能点",'模板使用说明&amp;基础参数'!$E$18,'模板使用说明&amp;基础参数'!$E$25),IF(H408="EQ",IF($C$1="预估功能点",'模板使用说明&amp;基础参数'!$E$19,'模板使用说明&amp;基础参数'!$E$26),"")))))</f>
        <v>4</v>
      </c>
      <c r="J408" s="97" t="s">
        <v>38</v>
      </c>
      <c r="K408" s="97" t="s">
        <v>78</v>
      </c>
      <c r="L408" s="98">
        <f>IF(I408="","",IF(J408="高",IF(K408="删除",I408*'模板使用说明&amp;基础参数'!$E$5*'模板使用说明&amp;基础参数'!$E$12,IF(K408="修改",I408*'模板使用说明&amp;基础参数'!$E$5*'模板使用说明&amp;基础参数'!$E$11,I408*'模板使用说明&amp;基础参数'!$E$5*'模板使用说明&amp;基础参数'!$E$10)),IF(J408="中",IF(K408="删除",I408*'模板使用说明&amp;基础参数'!$E$6*'模板使用说明&amp;基础参数'!$E$12,IF(K408="修改",I408*'模板使用说明&amp;基础参数'!$E$6*'模板使用说明&amp;基础参数'!$E$11,I408*'模板使用说明&amp;基础参数'!$E$6*'模板使用说明&amp;基础参数'!$E$10)),IF(K408="删除",I408*'模板使用说明&amp;基础参数'!$E$7*'模板使用说明&amp;基础参数'!$E$12,IF(K408="修改",I408*'模板使用说明&amp;基础参数'!$E$7*'模板使用说明&amp;基础参数'!$E$11,I408*'模板使用说明&amp;基础参数'!$E$7*'模板使用说明&amp;基础参数'!$E$10)))))</f>
        <v>1.06666666666667</v>
      </c>
      <c r="M408" s="95"/>
      <c r="N408" s="99"/>
      <c r="O408" s="100"/>
    </row>
    <row r="409" s="70" customFormat="1" ht="25" customHeight="1" spans="1:15">
      <c r="A409" s="93">
        <v>404</v>
      </c>
      <c r="B409" s="94" t="s">
        <v>72</v>
      </c>
      <c r="C409" s="95" t="s">
        <v>840</v>
      </c>
      <c r="D409" s="95" t="s">
        <v>841</v>
      </c>
      <c r="E409" s="95" t="s">
        <v>841</v>
      </c>
      <c r="F409" s="95" t="s">
        <v>898</v>
      </c>
      <c r="G409" s="95" t="s">
        <v>899</v>
      </c>
      <c r="H409" s="93" t="s">
        <v>84</v>
      </c>
      <c r="I409" s="96">
        <f>IF(H409="ILF",IF($C$1="预估功能点",'模板使用说明&amp;基础参数'!$E$15,7),IF(H409="EIF",IF($C$1="预估功能点",'模板使用说明&amp;基础参数'!$E$16,5),IF(H409="EI",IF($C$1="预估功能点",'模板使用说明&amp;基础参数'!$E$17,'模板使用说明&amp;基础参数'!$E$24),IF(H409="EO",IF($C$1="预估功能点",'模板使用说明&amp;基础参数'!$E$18,'模板使用说明&amp;基础参数'!$E$25),IF(H409="EQ",IF($C$1="预估功能点",'模板使用说明&amp;基础参数'!$E$19,'模板使用说明&amp;基础参数'!$E$26),"")))))</f>
        <v>4</v>
      </c>
      <c r="J409" s="97" t="s">
        <v>38</v>
      </c>
      <c r="K409" s="97" t="s">
        <v>78</v>
      </c>
      <c r="L409" s="98">
        <f>IF(I409="","",IF(J409="高",IF(K409="删除",I409*'模板使用说明&amp;基础参数'!$E$5*'模板使用说明&amp;基础参数'!$E$12,IF(K409="修改",I409*'模板使用说明&amp;基础参数'!$E$5*'模板使用说明&amp;基础参数'!$E$11,I409*'模板使用说明&amp;基础参数'!$E$5*'模板使用说明&amp;基础参数'!$E$10)),IF(J409="中",IF(K409="删除",I409*'模板使用说明&amp;基础参数'!$E$6*'模板使用说明&amp;基础参数'!$E$12,IF(K409="修改",I409*'模板使用说明&amp;基础参数'!$E$6*'模板使用说明&amp;基础参数'!$E$11,I409*'模板使用说明&amp;基础参数'!$E$6*'模板使用说明&amp;基础参数'!$E$10)),IF(K409="删除",I409*'模板使用说明&amp;基础参数'!$E$7*'模板使用说明&amp;基础参数'!$E$12,IF(K409="修改",I409*'模板使用说明&amp;基础参数'!$E$7*'模板使用说明&amp;基础参数'!$E$11,I409*'模板使用说明&amp;基础参数'!$E$7*'模板使用说明&amp;基础参数'!$E$10)))))</f>
        <v>1.06666666666667</v>
      </c>
      <c r="M409" s="95"/>
      <c r="N409" s="99"/>
      <c r="O409" s="100"/>
    </row>
    <row r="410" s="70" customFormat="1" ht="25" customHeight="1" spans="1:15">
      <c r="A410" s="93">
        <v>405</v>
      </c>
      <c r="B410" s="94" t="s">
        <v>72</v>
      </c>
      <c r="C410" s="95" t="s">
        <v>840</v>
      </c>
      <c r="D410" s="95" t="s">
        <v>841</v>
      </c>
      <c r="E410" s="95" t="s">
        <v>841</v>
      </c>
      <c r="F410" s="95" t="s">
        <v>900</v>
      </c>
      <c r="G410" s="95" t="s">
        <v>901</v>
      </c>
      <c r="H410" s="93" t="s">
        <v>84</v>
      </c>
      <c r="I410" s="96">
        <f>IF(H410="ILF",IF($C$1="预估功能点",'模板使用说明&amp;基础参数'!$E$15,7),IF(H410="EIF",IF($C$1="预估功能点",'模板使用说明&amp;基础参数'!$E$16,5),IF(H410="EI",IF($C$1="预估功能点",'模板使用说明&amp;基础参数'!$E$17,'模板使用说明&amp;基础参数'!$E$24),IF(H410="EO",IF($C$1="预估功能点",'模板使用说明&amp;基础参数'!$E$18,'模板使用说明&amp;基础参数'!$E$25),IF(H410="EQ",IF($C$1="预估功能点",'模板使用说明&amp;基础参数'!$E$19,'模板使用说明&amp;基础参数'!$E$26),"")))))</f>
        <v>4</v>
      </c>
      <c r="J410" s="97" t="s">
        <v>38</v>
      </c>
      <c r="K410" s="97" t="s">
        <v>78</v>
      </c>
      <c r="L410" s="98">
        <f>IF(I410="","",IF(J410="高",IF(K410="删除",I410*'模板使用说明&amp;基础参数'!$E$5*'模板使用说明&amp;基础参数'!$E$12,IF(K410="修改",I410*'模板使用说明&amp;基础参数'!$E$5*'模板使用说明&amp;基础参数'!$E$11,I410*'模板使用说明&amp;基础参数'!$E$5*'模板使用说明&amp;基础参数'!$E$10)),IF(J410="中",IF(K410="删除",I410*'模板使用说明&amp;基础参数'!$E$6*'模板使用说明&amp;基础参数'!$E$12,IF(K410="修改",I410*'模板使用说明&amp;基础参数'!$E$6*'模板使用说明&amp;基础参数'!$E$11,I410*'模板使用说明&amp;基础参数'!$E$6*'模板使用说明&amp;基础参数'!$E$10)),IF(K410="删除",I410*'模板使用说明&amp;基础参数'!$E$7*'模板使用说明&amp;基础参数'!$E$12,IF(K410="修改",I410*'模板使用说明&amp;基础参数'!$E$7*'模板使用说明&amp;基础参数'!$E$11,I410*'模板使用说明&amp;基础参数'!$E$7*'模板使用说明&amp;基础参数'!$E$10)))))</f>
        <v>1.06666666666667</v>
      </c>
      <c r="M410" s="95"/>
      <c r="N410" s="99"/>
      <c r="O410" s="100"/>
    </row>
    <row r="411" s="70" customFormat="1" ht="25" customHeight="1" spans="1:15">
      <c r="A411" s="93">
        <v>406</v>
      </c>
      <c r="B411" s="94" t="s">
        <v>72</v>
      </c>
      <c r="C411" s="95" t="s">
        <v>840</v>
      </c>
      <c r="D411" s="95" t="s">
        <v>841</v>
      </c>
      <c r="E411" s="95" t="s">
        <v>841</v>
      </c>
      <c r="F411" s="95" t="s">
        <v>902</v>
      </c>
      <c r="G411" s="95" t="s">
        <v>903</v>
      </c>
      <c r="H411" s="93" t="s">
        <v>77</v>
      </c>
      <c r="I411" s="96">
        <f>IF(H411="ILF",IF($C$1="预估功能点",'模板使用说明&amp;基础参数'!$E$15,7),IF(H411="EIF",IF($C$1="预估功能点",'模板使用说明&amp;基础参数'!$E$16,5),IF(H411="EI",IF($C$1="预估功能点",'模板使用说明&amp;基础参数'!$E$17,'模板使用说明&amp;基础参数'!$E$24),IF(H411="EO",IF($C$1="预估功能点",'模板使用说明&amp;基础参数'!$E$18,'模板使用说明&amp;基础参数'!$E$25),IF(H411="EQ",IF($C$1="预估功能点",'模板使用说明&amp;基础参数'!$E$19,'模板使用说明&amp;基础参数'!$E$26),"")))))</f>
        <v>7</v>
      </c>
      <c r="J411" s="97" t="s">
        <v>38</v>
      </c>
      <c r="K411" s="97" t="s">
        <v>78</v>
      </c>
      <c r="L411" s="98">
        <f>IF(I411="","",IF(J411="高",IF(K411="删除",I411*'模板使用说明&amp;基础参数'!$E$5*'模板使用说明&amp;基础参数'!$E$12,IF(K411="修改",I411*'模板使用说明&amp;基础参数'!$E$5*'模板使用说明&amp;基础参数'!$E$11,I411*'模板使用说明&amp;基础参数'!$E$5*'模板使用说明&amp;基础参数'!$E$10)),IF(J411="中",IF(K411="删除",I411*'模板使用说明&amp;基础参数'!$E$6*'模板使用说明&amp;基础参数'!$E$12,IF(K411="修改",I411*'模板使用说明&amp;基础参数'!$E$6*'模板使用说明&amp;基础参数'!$E$11,I411*'模板使用说明&amp;基础参数'!$E$6*'模板使用说明&amp;基础参数'!$E$10)),IF(K411="删除",I411*'模板使用说明&amp;基础参数'!$E$7*'模板使用说明&amp;基础参数'!$E$12,IF(K411="修改",I411*'模板使用说明&amp;基础参数'!$E$7*'模板使用说明&amp;基础参数'!$E$11,I411*'模板使用说明&amp;基础参数'!$E$7*'模板使用说明&amp;基础参数'!$E$10)))))</f>
        <v>1.86666666666666</v>
      </c>
      <c r="M411" s="95"/>
      <c r="N411" s="99"/>
      <c r="O411" s="100"/>
    </row>
    <row r="412" s="70" customFormat="1" ht="25" customHeight="1" spans="1:15">
      <c r="A412" s="93">
        <v>407</v>
      </c>
      <c r="B412" s="94" t="s">
        <v>72</v>
      </c>
      <c r="C412" s="95" t="s">
        <v>840</v>
      </c>
      <c r="D412" s="95" t="s">
        <v>841</v>
      </c>
      <c r="E412" s="95" t="s">
        <v>841</v>
      </c>
      <c r="F412" s="95" t="s">
        <v>904</v>
      </c>
      <c r="G412" s="95" t="s">
        <v>905</v>
      </c>
      <c r="H412" s="93" t="s">
        <v>81</v>
      </c>
      <c r="I412" s="96">
        <f>IF(H412="ILF",IF($C$1="预估功能点",'模板使用说明&amp;基础参数'!$E$15,7),IF(H412="EIF",IF($C$1="预估功能点",'模板使用说明&amp;基础参数'!$E$16,5),IF(H412="EI",IF($C$1="预估功能点",'模板使用说明&amp;基础参数'!$E$17,'模板使用说明&amp;基础参数'!$E$24),IF(H412="EO",IF($C$1="预估功能点",'模板使用说明&amp;基础参数'!$E$18,'模板使用说明&amp;基础参数'!$E$25),IF(H412="EQ",IF($C$1="预估功能点",'模板使用说明&amp;基础参数'!$E$19,'模板使用说明&amp;基础参数'!$E$26),"")))))</f>
        <v>4</v>
      </c>
      <c r="J412" s="97" t="s">
        <v>38</v>
      </c>
      <c r="K412" s="97" t="s">
        <v>78</v>
      </c>
      <c r="L412" s="98">
        <f>IF(I412="","",IF(J412="高",IF(K412="删除",I412*'模板使用说明&amp;基础参数'!$E$5*'模板使用说明&amp;基础参数'!$E$12,IF(K412="修改",I412*'模板使用说明&amp;基础参数'!$E$5*'模板使用说明&amp;基础参数'!$E$11,I412*'模板使用说明&amp;基础参数'!$E$5*'模板使用说明&amp;基础参数'!$E$10)),IF(J412="中",IF(K412="删除",I412*'模板使用说明&amp;基础参数'!$E$6*'模板使用说明&amp;基础参数'!$E$12,IF(K412="修改",I412*'模板使用说明&amp;基础参数'!$E$6*'模板使用说明&amp;基础参数'!$E$11,I412*'模板使用说明&amp;基础参数'!$E$6*'模板使用说明&amp;基础参数'!$E$10)),IF(K412="删除",I412*'模板使用说明&amp;基础参数'!$E$7*'模板使用说明&amp;基础参数'!$E$12,IF(K412="修改",I412*'模板使用说明&amp;基础参数'!$E$7*'模板使用说明&amp;基础参数'!$E$11,I412*'模板使用说明&amp;基础参数'!$E$7*'模板使用说明&amp;基础参数'!$E$10)))))</f>
        <v>1.06666666666667</v>
      </c>
      <c r="M412" s="95"/>
      <c r="N412" s="99"/>
      <c r="O412" s="100"/>
    </row>
    <row r="413" s="70" customFormat="1" ht="25" customHeight="1" spans="1:15">
      <c r="A413" s="93">
        <v>408</v>
      </c>
      <c r="B413" s="94" t="s">
        <v>72</v>
      </c>
      <c r="C413" s="95" t="s">
        <v>840</v>
      </c>
      <c r="D413" s="95" t="s">
        <v>841</v>
      </c>
      <c r="E413" s="95" t="s">
        <v>841</v>
      </c>
      <c r="F413" s="95" t="s">
        <v>906</v>
      </c>
      <c r="G413" s="95" t="s">
        <v>907</v>
      </c>
      <c r="H413" s="93" t="s">
        <v>84</v>
      </c>
      <c r="I413" s="96">
        <f>IF(H413="ILF",IF($C$1="预估功能点",'模板使用说明&amp;基础参数'!$E$15,7),IF(H413="EIF",IF($C$1="预估功能点",'模板使用说明&amp;基础参数'!$E$16,5),IF(H413="EI",IF($C$1="预估功能点",'模板使用说明&amp;基础参数'!$E$17,'模板使用说明&amp;基础参数'!$E$24),IF(H413="EO",IF($C$1="预估功能点",'模板使用说明&amp;基础参数'!$E$18,'模板使用说明&amp;基础参数'!$E$25),IF(H413="EQ",IF($C$1="预估功能点",'模板使用说明&amp;基础参数'!$E$19,'模板使用说明&amp;基础参数'!$E$26),"")))))</f>
        <v>4</v>
      </c>
      <c r="J413" s="97" t="s">
        <v>38</v>
      </c>
      <c r="K413" s="97" t="s">
        <v>78</v>
      </c>
      <c r="L413" s="98">
        <f>IF(I413="","",IF(J413="高",IF(K413="删除",I413*'模板使用说明&amp;基础参数'!$E$5*'模板使用说明&amp;基础参数'!$E$12,IF(K413="修改",I413*'模板使用说明&amp;基础参数'!$E$5*'模板使用说明&amp;基础参数'!$E$11,I413*'模板使用说明&amp;基础参数'!$E$5*'模板使用说明&amp;基础参数'!$E$10)),IF(J413="中",IF(K413="删除",I413*'模板使用说明&amp;基础参数'!$E$6*'模板使用说明&amp;基础参数'!$E$12,IF(K413="修改",I413*'模板使用说明&amp;基础参数'!$E$6*'模板使用说明&amp;基础参数'!$E$11,I413*'模板使用说明&amp;基础参数'!$E$6*'模板使用说明&amp;基础参数'!$E$10)),IF(K413="删除",I413*'模板使用说明&amp;基础参数'!$E$7*'模板使用说明&amp;基础参数'!$E$12,IF(K413="修改",I413*'模板使用说明&amp;基础参数'!$E$7*'模板使用说明&amp;基础参数'!$E$11,I413*'模板使用说明&amp;基础参数'!$E$7*'模板使用说明&amp;基础参数'!$E$10)))))</f>
        <v>1.06666666666667</v>
      </c>
      <c r="M413" s="95"/>
      <c r="N413" s="99"/>
      <c r="O413" s="100"/>
    </row>
    <row r="414" s="70" customFormat="1" ht="25" customHeight="1" spans="1:15">
      <c r="A414" s="93">
        <v>409</v>
      </c>
      <c r="B414" s="94" t="s">
        <v>72</v>
      </c>
      <c r="C414" s="95" t="s">
        <v>840</v>
      </c>
      <c r="D414" s="95" t="s">
        <v>841</v>
      </c>
      <c r="E414" s="95" t="s">
        <v>841</v>
      </c>
      <c r="F414" s="95" t="s">
        <v>908</v>
      </c>
      <c r="G414" s="95" t="s">
        <v>909</v>
      </c>
      <c r="H414" s="93" t="s">
        <v>84</v>
      </c>
      <c r="I414" s="96">
        <f>IF(H414="ILF",IF($C$1="预估功能点",'模板使用说明&amp;基础参数'!$E$15,7),IF(H414="EIF",IF($C$1="预估功能点",'模板使用说明&amp;基础参数'!$E$16,5),IF(H414="EI",IF($C$1="预估功能点",'模板使用说明&amp;基础参数'!$E$17,'模板使用说明&amp;基础参数'!$E$24),IF(H414="EO",IF($C$1="预估功能点",'模板使用说明&amp;基础参数'!$E$18,'模板使用说明&amp;基础参数'!$E$25),IF(H414="EQ",IF($C$1="预估功能点",'模板使用说明&amp;基础参数'!$E$19,'模板使用说明&amp;基础参数'!$E$26),"")))))</f>
        <v>4</v>
      </c>
      <c r="J414" s="97" t="s">
        <v>38</v>
      </c>
      <c r="K414" s="97" t="s">
        <v>78</v>
      </c>
      <c r="L414" s="98">
        <f>IF(I414="","",IF(J414="高",IF(K414="删除",I414*'模板使用说明&amp;基础参数'!$E$5*'模板使用说明&amp;基础参数'!$E$12,IF(K414="修改",I414*'模板使用说明&amp;基础参数'!$E$5*'模板使用说明&amp;基础参数'!$E$11,I414*'模板使用说明&amp;基础参数'!$E$5*'模板使用说明&amp;基础参数'!$E$10)),IF(J414="中",IF(K414="删除",I414*'模板使用说明&amp;基础参数'!$E$6*'模板使用说明&amp;基础参数'!$E$12,IF(K414="修改",I414*'模板使用说明&amp;基础参数'!$E$6*'模板使用说明&amp;基础参数'!$E$11,I414*'模板使用说明&amp;基础参数'!$E$6*'模板使用说明&amp;基础参数'!$E$10)),IF(K414="删除",I414*'模板使用说明&amp;基础参数'!$E$7*'模板使用说明&amp;基础参数'!$E$12,IF(K414="修改",I414*'模板使用说明&amp;基础参数'!$E$7*'模板使用说明&amp;基础参数'!$E$11,I414*'模板使用说明&amp;基础参数'!$E$7*'模板使用说明&amp;基础参数'!$E$10)))))</f>
        <v>1.06666666666667</v>
      </c>
      <c r="M414" s="95"/>
      <c r="N414" s="99"/>
      <c r="O414" s="100"/>
    </row>
    <row r="415" s="70" customFormat="1" ht="25" customHeight="1" spans="1:15">
      <c r="A415" s="93">
        <v>410</v>
      </c>
      <c r="B415" s="94" t="s">
        <v>72</v>
      </c>
      <c r="C415" s="95" t="s">
        <v>840</v>
      </c>
      <c r="D415" s="95" t="s">
        <v>841</v>
      </c>
      <c r="E415" s="95" t="s">
        <v>841</v>
      </c>
      <c r="F415" s="95" t="s">
        <v>910</v>
      </c>
      <c r="G415" s="95" t="s">
        <v>911</v>
      </c>
      <c r="H415" s="93" t="s">
        <v>84</v>
      </c>
      <c r="I415" s="96">
        <f>IF(H415="ILF",IF($C$1="预估功能点",'模板使用说明&amp;基础参数'!$E$15,7),IF(H415="EIF",IF($C$1="预估功能点",'模板使用说明&amp;基础参数'!$E$16,5),IF(H415="EI",IF($C$1="预估功能点",'模板使用说明&amp;基础参数'!$E$17,'模板使用说明&amp;基础参数'!$E$24),IF(H415="EO",IF($C$1="预估功能点",'模板使用说明&amp;基础参数'!$E$18,'模板使用说明&amp;基础参数'!$E$25),IF(H415="EQ",IF($C$1="预估功能点",'模板使用说明&amp;基础参数'!$E$19,'模板使用说明&amp;基础参数'!$E$26),"")))))</f>
        <v>4</v>
      </c>
      <c r="J415" s="97" t="s">
        <v>38</v>
      </c>
      <c r="K415" s="97" t="s">
        <v>78</v>
      </c>
      <c r="L415" s="98">
        <f>IF(I415="","",IF(J415="高",IF(K415="删除",I415*'模板使用说明&amp;基础参数'!$E$5*'模板使用说明&amp;基础参数'!$E$12,IF(K415="修改",I415*'模板使用说明&amp;基础参数'!$E$5*'模板使用说明&amp;基础参数'!$E$11,I415*'模板使用说明&amp;基础参数'!$E$5*'模板使用说明&amp;基础参数'!$E$10)),IF(J415="中",IF(K415="删除",I415*'模板使用说明&amp;基础参数'!$E$6*'模板使用说明&amp;基础参数'!$E$12,IF(K415="修改",I415*'模板使用说明&amp;基础参数'!$E$6*'模板使用说明&amp;基础参数'!$E$11,I415*'模板使用说明&amp;基础参数'!$E$6*'模板使用说明&amp;基础参数'!$E$10)),IF(K415="删除",I415*'模板使用说明&amp;基础参数'!$E$7*'模板使用说明&amp;基础参数'!$E$12,IF(K415="修改",I415*'模板使用说明&amp;基础参数'!$E$7*'模板使用说明&amp;基础参数'!$E$11,I415*'模板使用说明&amp;基础参数'!$E$7*'模板使用说明&amp;基础参数'!$E$10)))))</f>
        <v>1.06666666666667</v>
      </c>
      <c r="M415" s="95"/>
      <c r="N415" s="99"/>
      <c r="O415" s="100"/>
    </row>
    <row r="416" s="70" customFormat="1" ht="25" customHeight="1" spans="1:15">
      <c r="A416" s="93">
        <v>411</v>
      </c>
      <c r="B416" s="94" t="s">
        <v>72</v>
      </c>
      <c r="C416" s="95" t="s">
        <v>912</v>
      </c>
      <c r="D416" s="95" t="s">
        <v>913</v>
      </c>
      <c r="E416" s="95" t="s">
        <v>913</v>
      </c>
      <c r="F416" s="95" t="s">
        <v>914</v>
      </c>
      <c r="G416" s="95" t="s">
        <v>915</v>
      </c>
      <c r="H416" s="93" t="s">
        <v>77</v>
      </c>
      <c r="I416" s="96">
        <f>IF(H416="ILF",IF($C$1="预估功能点",'模板使用说明&amp;基础参数'!$E$15,7),IF(H416="EIF",IF($C$1="预估功能点",'模板使用说明&amp;基础参数'!$E$16,5),IF(H416="EI",IF($C$1="预估功能点",'模板使用说明&amp;基础参数'!$E$17,'模板使用说明&amp;基础参数'!$E$24),IF(H416="EO",IF($C$1="预估功能点",'模板使用说明&amp;基础参数'!$E$18,'模板使用说明&amp;基础参数'!$E$25),IF(H416="EQ",IF($C$1="预估功能点",'模板使用说明&amp;基础参数'!$E$19,'模板使用说明&amp;基础参数'!$E$26),"")))))</f>
        <v>7</v>
      </c>
      <c r="J416" s="97" t="s">
        <v>38</v>
      </c>
      <c r="K416" s="97" t="s">
        <v>78</v>
      </c>
      <c r="L416" s="98">
        <f>IF(I416="","",IF(J416="高",IF(K416="删除",I416*'模板使用说明&amp;基础参数'!$E$5*'模板使用说明&amp;基础参数'!$E$12,IF(K416="修改",I416*'模板使用说明&amp;基础参数'!$E$5*'模板使用说明&amp;基础参数'!$E$11,I416*'模板使用说明&amp;基础参数'!$E$5*'模板使用说明&amp;基础参数'!$E$10)),IF(J416="中",IF(K416="删除",I416*'模板使用说明&amp;基础参数'!$E$6*'模板使用说明&amp;基础参数'!$E$12,IF(K416="修改",I416*'模板使用说明&amp;基础参数'!$E$6*'模板使用说明&amp;基础参数'!$E$11,I416*'模板使用说明&amp;基础参数'!$E$6*'模板使用说明&amp;基础参数'!$E$10)),IF(K416="删除",I416*'模板使用说明&amp;基础参数'!$E$7*'模板使用说明&amp;基础参数'!$E$12,IF(K416="修改",I416*'模板使用说明&amp;基础参数'!$E$7*'模板使用说明&amp;基础参数'!$E$11,I416*'模板使用说明&amp;基础参数'!$E$7*'模板使用说明&amp;基础参数'!$E$10)))))</f>
        <v>1.86666666666666</v>
      </c>
      <c r="M416" s="95"/>
      <c r="N416" s="99"/>
      <c r="O416" s="100"/>
    </row>
    <row r="417" s="70" customFormat="1" ht="25" customHeight="1" spans="1:15">
      <c r="A417" s="93">
        <v>412</v>
      </c>
      <c r="B417" s="94" t="s">
        <v>72</v>
      </c>
      <c r="C417" s="95" t="s">
        <v>912</v>
      </c>
      <c r="D417" s="95" t="s">
        <v>913</v>
      </c>
      <c r="E417" s="95" t="s">
        <v>913</v>
      </c>
      <c r="F417" s="95" t="s">
        <v>916</v>
      </c>
      <c r="G417" s="95" t="s">
        <v>917</v>
      </c>
      <c r="H417" s="93" t="s">
        <v>81</v>
      </c>
      <c r="I417" s="96">
        <f>IF(H417="ILF",IF($C$1="预估功能点",'模板使用说明&amp;基础参数'!$E$15,7),IF(H417="EIF",IF($C$1="预估功能点",'模板使用说明&amp;基础参数'!$E$16,5),IF(H417="EI",IF($C$1="预估功能点",'模板使用说明&amp;基础参数'!$E$17,'模板使用说明&amp;基础参数'!$E$24),IF(H417="EO",IF($C$1="预估功能点",'模板使用说明&amp;基础参数'!$E$18,'模板使用说明&amp;基础参数'!$E$25),IF(H417="EQ",IF($C$1="预估功能点",'模板使用说明&amp;基础参数'!$E$19,'模板使用说明&amp;基础参数'!$E$26),"")))))</f>
        <v>4</v>
      </c>
      <c r="J417" s="97" t="s">
        <v>38</v>
      </c>
      <c r="K417" s="97" t="s">
        <v>78</v>
      </c>
      <c r="L417" s="98">
        <f>IF(I417="","",IF(J417="高",IF(K417="删除",I417*'模板使用说明&amp;基础参数'!$E$5*'模板使用说明&amp;基础参数'!$E$12,IF(K417="修改",I417*'模板使用说明&amp;基础参数'!$E$5*'模板使用说明&amp;基础参数'!$E$11,I417*'模板使用说明&amp;基础参数'!$E$5*'模板使用说明&amp;基础参数'!$E$10)),IF(J417="中",IF(K417="删除",I417*'模板使用说明&amp;基础参数'!$E$6*'模板使用说明&amp;基础参数'!$E$12,IF(K417="修改",I417*'模板使用说明&amp;基础参数'!$E$6*'模板使用说明&amp;基础参数'!$E$11,I417*'模板使用说明&amp;基础参数'!$E$6*'模板使用说明&amp;基础参数'!$E$10)),IF(K417="删除",I417*'模板使用说明&amp;基础参数'!$E$7*'模板使用说明&amp;基础参数'!$E$12,IF(K417="修改",I417*'模板使用说明&amp;基础参数'!$E$7*'模板使用说明&amp;基础参数'!$E$11,I417*'模板使用说明&amp;基础参数'!$E$7*'模板使用说明&amp;基础参数'!$E$10)))))</f>
        <v>1.06666666666667</v>
      </c>
      <c r="M417" s="95"/>
      <c r="N417" s="99"/>
      <c r="O417" s="100"/>
    </row>
    <row r="418" s="70" customFormat="1" ht="25" customHeight="1" spans="1:15">
      <c r="A418" s="93">
        <v>413</v>
      </c>
      <c r="B418" s="94" t="s">
        <v>72</v>
      </c>
      <c r="C418" s="95" t="s">
        <v>912</v>
      </c>
      <c r="D418" s="95" t="s">
        <v>913</v>
      </c>
      <c r="E418" s="95" t="s">
        <v>913</v>
      </c>
      <c r="F418" s="95" t="s">
        <v>918</v>
      </c>
      <c r="G418" s="95" t="s">
        <v>919</v>
      </c>
      <c r="H418" s="93" t="s">
        <v>84</v>
      </c>
      <c r="I418" s="96">
        <f>IF(H418="ILF",IF($C$1="预估功能点",'模板使用说明&amp;基础参数'!$E$15,7),IF(H418="EIF",IF($C$1="预估功能点",'模板使用说明&amp;基础参数'!$E$16,5),IF(H418="EI",IF($C$1="预估功能点",'模板使用说明&amp;基础参数'!$E$17,'模板使用说明&amp;基础参数'!$E$24),IF(H418="EO",IF($C$1="预估功能点",'模板使用说明&amp;基础参数'!$E$18,'模板使用说明&amp;基础参数'!$E$25),IF(H418="EQ",IF($C$1="预估功能点",'模板使用说明&amp;基础参数'!$E$19,'模板使用说明&amp;基础参数'!$E$26),"")))))</f>
        <v>4</v>
      </c>
      <c r="J418" s="97" t="s">
        <v>38</v>
      </c>
      <c r="K418" s="97" t="s">
        <v>78</v>
      </c>
      <c r="L418" s="98">
        <f>IF(I418="","",IF(J418="高",IF(K418="删除",I418*'模板使用说明&amp;基础参数'!$E$5*'模板使用说明&amp;基础参数'!$E$12,IF(K418="修改",I418*'模板使用说明&amp;基础参数'!$E$5*'模板使用说明&amp;基础参数'!$E$11,I418*'模板使用说明&amp;基础参数'!$E$5*'模板使用说明&amp;基础参数'!$E$10)),IF(J418="中",IF(K418="删除",I418*'模板使用说明&amp;基础参数'!$E$6*'模板使用说明&amp;基础参数'!$E$12,IF(K418="修改",I418*'模板使用说明&amp;基础参数'!$E$6*'模板使用说明&amp;基础参数'!$E$11,I418*'模板使用说明&amp;基础参数'!$E$6*'模板使用说明&amp;基础参数'!$E$10)),IF(K418="删除",I418*'模板使用说明&amp;基础参数'!$E$7*'模板使用说明&amp;基础参数'!$E$12,IF(K418="修改",I418*'模板使用说明&amp;基础参数'!$E$7*'模板使用说明&amp;基础参数'!$E$11,I418*'模板使用说明&amp;基础参数'!$E$7*'模板使用说明&amp;基础参数'!$E$10)))))</f>
        <v>1.06666666666667</v>
      </c>
      <c r="M418" s="95"/>
      <c r="N418" s="99"/>
      <c r="O418" s="100"/>
    </row>
    <row r="419" s="70" customFormat="1" ht="25" customHeight="1" spans="1:15">
      <c r="A419" s="93">
        <v>414</v>
      </c>
      <c r="B419" s="94" t="s">
        <v>72</v>
      </c>
      <c r="C419" s="95" t="s">
        <v>912</v>
      </c>
      <c r="D419" s="95" t="s">
        <v>913</v>
      </c>
      <c r="E419" s="95" t="s">
        <v>913</v>
      </c>
      <c r="F419" s="95" t="s">
        <v>920</v>
      </c>
      <c r="G419" s="95" t="s">
        <v>921</v>
      </c>
      <c r="H419" s="93" t="s">
        <v>84</v>
      </c>
      <c r="I419" s="96">
        <f>IF(H419="ILF",IF($C$1="预估功能点",'模板使用说明&amp;基础参数'!$E$15,7),IF(H419="EIF",IF($C$1="预估功能点",'模板使用说明&amp;基础参数'!$E$16,5),IF(H419="EI",IF($C$1="预估功能点",'模板使用说明&amp;基础参数'!$E$17,'模板使用说明&amp;基础参数'!$E$24),IF(H419="EO",IF($C$1="预估功能点",'模板使用说明&amp;基础参数'!$E$18,'模板使用说明&amp;基础参数'!$E$25),IF(H419="EQ",IF($C$1="预估功能点",'模板使用说明&amp;基础参数'!$E$19,'模板使用说明&amp;基础参数'!$E$26),"")))))</f>
        <v>4</v>
      </c>
      <c r="J419" s="97" t="s">
        <v>38</v>
      </c>
      <c r="K419" s="97" t="s">
        <v>78</v>
      </c>
      <c r="L419" s="98">
        <f>IF(I419="","",IF(J419="高",IF(K419="删除",I419*'模板使用说明&amp;基础参数'!$E$5*'模板使用说明&amp;基础参数'!$E$12,IF(K419="修改",I419*'模板使用说明&amp;基础参数'!$E$5*'模板使用说明&amp;基础参数'!$E$11,I419*'模板使用说明&amp;基础参数'!$E$5*'模板使用说明&amp;基础参数'!$E$10)),IF(J419="中",IF(K419="删除",I419*'模板使用说明&amp;基础参数'!$E$6*'模板使用说明&amp;基础参数'!$E$12,IF(K419="修改",I419*'模板使用说明&amp;基础参数'!$E$6*'模板使用说明&amp;基础参数'!$E$11,I419*'模板使用说明&amp;基础参数'!$E$6*'模板使用说明&amp;基础参数'!$E$10)),IF(K419="删除",I419*'模板使用说明&amp;基础参数'!$E$7*'模板使用说明&amp;基础参数'!$E$12,IF(K419="修改",I419*'模板使用说明&amp;基础参数'!$E$7*'模板使用说明&amp;基础参数'!$E$11,I419*'模板使用说明&amp;基础参数'!$E$7*'模板使用说明&amp;基础参数'!$E$10)))))</f>
        <v>1.06666666666667</v>
      </c>
      <c r="M419" s="95"/>
      <c r="N419" s="99"/>
      <c r="O419" s="100"/>
    </row>
    <row r="420" s="70" customFormat="1" ht="25" customHeight="1" spans="1:15">
      <c r="A420" s="93">
        <v>415</v>
      </c>
      <c r="B420" s="94" t="s">
        <v>72</v>
      </c>
      <c r="C420" s="95" t="s">
        <v>912</v>
      </c>
      <c r="D420" s="95" t="s">
        <v>913</v>
      </c>
      <c r="E420" s="95" t="s">
        <v>913</v>
      </c>
      <c r="F420" s="95" t="s">
        <v>922</v>
      </c>
      <c r="G420" s="95" t="s">
        <v>923</v>
      </c>
      <c r="H420" s="93" t="s">
        <v>84</v>
      </c>
      <c r="I420" s="96">
        <f>IF(H420="ILF",IF($C$1="预估功能点",'模板使用说明&amp;基础参数'!$E$15,7),IF(H420="EIF",IF($C$1="预估功能点",'模板使用说明&amp;基础参数'!$E$16,5),IF(H420="EI",IF($C$1="预估功能点",'模板使用说明&amp;基础参数'!$E$17,'模板使用说明&amp;基础参数'!$E$24),IF(H420="EO",IF($C$1="预估功能点",'模板使用说明&amp;基础参数'!$E$18,'模板使用说明&amp;基础参数'!$E$25),IF(H420="EQ",IF($C$1="预估功能点",'模板使用说明&amp;基础参数'!$E$19,'模板使用说明&amp;基础参数'!$E$26),"")))))</f>
        <v>4</v>
      </c>
      <c r="J420" s="97" t="s">
        <v>38</v>
      </c>
      <c r="K420" s="97" t="s">
        <v>78</v>
      </c>
      <c r="L420" s="98">
        <f>IF(I420="","",IF(J420="高",IF(K420="删除",I420*'模板使用说明&amp;基础参数'!$E$5*'模板使用说明&amp;基础参数'!$E$12,IF(K420="修改",I420*'模板使用说明&amp;基础参数'!$E$5*'模板使用说明&amp;基础参数'!$E$11,I420*'模板使用说明&amp;基础参数'!$E$5*'模板使用说明&amp;基础参数'!$E$10)),IF(J420="中",IF(K420="删除",I420*'模板使用说明&amp;基础参数'!$E$6*'模板使用说明&amp;基础参数'!$E$12,IF(K420="修改",I420*'模板使用说明&amp;基础参数'!$E$6*'模板使用说明&amp;基础参数'!$E$11,I420*'模板使用说明&amp;基础参数'!$E$6*'模板使用说明&amp;基础参数'!$E$10)),IF(K420="删除",I420*'模板使用说明&amp;基础参数'!$E$7*'模板使用说明&amp;基础参数'!$E$12,IF(K420="修改",I420*'模板使用说明&amp;基础参数'!$E$7*'模板使用说明&amp;基础参数'!$E$11,I420*'模板使用说明&amp;基础参数'!$E$7*'模板使用说明&amp;基础参数'!$E$10)))))</f>
        <v>1.06666666666667</v>
      </c>
      <c r="M420" s="95"/>
      <c r="N420" s="99"/>
      <c r="O420" s="100"/>
    </row>
    <row r="421" s="70" customFormat="1" ht="25" customHeight="1" spans="1:15">
      <c r="A421" s="93">
        <v>416</v>
      </c>
      <c r="B421" s="94" t="s">
        <v>72</v>
      </c>
      <c r="C421" s="95" t="s">
        <v>924</v>
      </c>
      <c r="D421" s="95" t="s">
        <v>925</v>
      </c>
      <c r="E421" s="95" t="s">
        <v>925</v>
      </c>
      <c r="F421" s="95" t="s">
        <v>926</v>
      </c>
      <c r="G421" s="95" t="s">
        <v>927</v>
      </c>
      <c r="H421" s="93" t="s">
        <v>77</v>
      </c>
      <c r="I421" s="96">
        <f>IF(H421="ILF",IF($C$1="预估功能点",'模板使用说明&amp;基础参数'!$E$15,7),IF(H421="EIF",IF($C$1="预估功能点",'模板使用说明&amp;基础参数'!$E$16,5),IF(H421="EI",IF($C$1="预估功能点",'模板使用说明&amp;基础参数'!$E$17,'模板使用说明&amp;基础参数'!$E$24),IF(H421="EO",IF($C$1="预估功能点",'模板使用说明&amp;基础参数'!$E$18,'模板使用说明&amp;基础参数'!$E$25),IF(H421="EQ",IF($C$1="预估功能点",'模板使用说明&amp;基础参数'!$E$19,'模板使用说明&amp;基础参数'!$E$26),"")))))</f>
        <v>7</v>
      </c>
      <c r="J421" s="97" t="s">
        <v>38</v>
      </c>
      <c r="K421" s="97" t="s">
        <v>78</v>
      </c>
      <c r="L421" s="98">
        <f>IF(I421="","",IF(J421="高",IF(K421="删除",I421*'模板使用说明&amp;基础参数'!$E$5*'模板使用说明&amp;基础参数'!$E$12,IF(K421="修改",I421*'模板使用说明&amp;基础参数'!$E$5*'模板使用说明&amp;基础参数'!$E$11,I421*'模板使用说明&amp;基础参数'!$E$5*'模板使用说明&amp;基础参数'!$E$10)),IF(J421="中",IF(K421="删除",I421*'模板使用说明&amp;基础参数'!$E$6*'模板使用说明&amp;基础参数'!$E$12,IF(K421="修改",I421*'模板使用说明&amp;基础参数'!$E$6*'模板使用说明&amp;基础参数'!$E$11,I421*'模板使用说明&amp;基础参数'!$E$6*'模板使用说明&amp;基础参数'!$E$10)),IF(K421="删除",I421*'模板使用说明&amp;基础参数'!$E$7*'模板使用说明&amp;基础参数'!$E$12,IF(K421="修改",I421*'模板使用说明&amp;基础参数'!$E$7*'模板使用说明&amp;基础参数'!$E$11,I421*'模板使用说明&amp;基础参数'!$E$7*'模板使用说明&amp;基础参数'!$E$10)))))</f>
        <v>1.86666666666666</v>
      </c>
      <c r="M421" s="95"/>
      <c r="N421" s="99"/>
      <c r="O421" s="100"/>
    </row>
    <row r="422" s="70" customFormat="1" ht="25" customHeight="1" spans="1:15">
      <c r="A422" s="93">
        <v>417</v>
      </c>
      <c r="B422" s="94" t="s">
        <v>72</v>
      </c>
      <c r="C422" s="95" t="s">
        <v>924</v>
      </c>
      <c r="D422" s="95" t="s">
        <v>925</v>
      </c>
      <c r="E422" s="95" t="s">
        <v>925</v>
      </c>
      <c r="F422" s="95" t="s">
        <v>928</v>
      </c>
      <c r="G422" s="95" t="s">
        <v>929</v>
      </c>
      <c r="H422" s="93" t="s">
        <v>81</v>
      </c>
      <c r="I422" s="96">
        <f>IF(H422="ILF",IF($C$1="预估功能点",'模板使用说明&amp;基础参数'!$E$15,7),IF(H422="EIF",IF($C$1="预估功能点",'模板使用说明&amp;基础参数'!$E$16,5),IF(H422="EI",IF($C$1="预估功能点",'模板使用说明&amp;基础参数'!$E$17,'模板使用说明&amp;基础参数'!$E$24),IF(H422="EO",IF($C$1="预估功能点",'模板使用说明&amp;基础参数'!$E$18,'模板使用说明&amp;基础参数'!$E$25),IF(H422="EQ",IF($C$1="预估功能点",'模板使用说明&amp;基础参数'!$E$19,'模板使用说明&amp;基础参数'!$E$26),"")))))</f>
        <v>4</v>
      </c>
      <c r="J422" s="97" t="s">
        <v>38</v>
      </c>
      <c r="K422" s="97" t="s">
        <v>78</v>
      </c>
      <c r="L422" s="98">
        <f>IF(I422="","",IF(J422="高",IF(K422="删除",I422*'模板使用说明&amp;基础参数'!$E$5*'模板使用说明&amp;基础参数'!$E$12,IF(K422="修改",I422*'模板使用说明&amp;基础参数'!$E$5*'模板使用说明&amp;基础参数'!$E$11,I422*'模板使用说明&amp;基础参数'!$E$5*'模板使用说明&amp;基础参数'!$E$10)),IF(J422="中",IF(K422="删除",I422*'模板使用说明&amp;基础参数'!$E$6*'模板使用说明&amp;基础参数'!$E$12,IF(K422="修改",I422*'模板使用说明&amp;基础参数'!$E$6*'模板使用说明&amp;基础参数'!$E$11,I422*'模板使用说明&amp;基础参数'!$E$6*'模板使用说明&amp;基础参数'!$E$10)),IF(K422="删除",I422*'模板使用说明&amp;基础参数'!$E$7*'模板使用说明&amp;基础参数'!$E$12,IF(K422="修改",I422*'模板使用说明&amp;基础参数'!$E$7*'模板使用说明&amp;基础参数'!$E$11,I422*'模板使用说明&amp;基础参数'!$E$7*'模板使用说明&amp;基础参数'!$E$10)))))</f>
        <v>1.06666666666667</v>
      </c>
      <c r="M422" s="95"/>
      <c r="N422" s="99"/>
      <c r="O422" s="100"/>
    </row>
    <row r="423" s="70" customFormat="1" ht="25" customHeight="1" spans="1:15">
      <c r="A423" s="93">
        <v>418</v>
      </c>
      <c r="B423" s="94" t="s">
        <v>72</v>
      </c>
      <c r="C423" s="95" t="s">
        <v>924</v>
      </c>
      <c r="D423" s="95" t="s">
        <v>925</v>
      </c>
      <c r="E423" s="95" t="s">
        <v>925</v>
      </c>
      <c r="F423" s="95" t="s">
        <v>930</v>
      </c>
      <c r="G423" s="95" t="s">
        <v>931</v>
      </c>
      <c r="H423" s="93" t="s">
        <v>84</v>
      </c>
      <c r="I423" s="96">
        <f>IF(H423="ILF",IF($C$1="预估功能点",'模板使用说明&amp;基础参数'!$E$15,7),IF(H423="EIF",IF($C$1="预估功能点",'模板使用说明&amp;基础参数'!$E$16,5),IF(H423="EI",IF($C$1="预估功能点",'模板使用说明&amp;基础参数'!$E$17,'模板使用说明&amp;基础参数'!$E$24),IF(H423="EO",IF($C$1="预估功能点",'模板使用说明&amp;基础参数'!$E$18,'模板使用说明&amp;基础参数'!$E$25),IF(H423="EQ",IF($C$1="预估功能点",'模板使用说明&amp;基础参数'!$E$19,'模板使用说明&amp;基础参数'!$E$26),"")))))</f>
        <v>4</v>
      </c>
      <c r="J423" s="97" t="s">
        <v>38</v>
      </c>
      <c r="K423" s="97" t="s">
        <v>78</v>
      </c>
      <c r="L423" s="98">
        <f>IF(I423="","",IF(J423="高",IF(K423="删除",I423*'模板使用说明&amp;基础参数'!$E$5*'模板使用说明&amp;基础参数'!$E$12,IF(K423="修改",I423*'模板使用说明&amp;基础参数'!$E$5*'模板使用说明&amp;基础参数'!$E$11,I423*'模板使用说明&amp;基础参数'!$E$5*'模板使用说明&amp;基础参数'!$E$10)),IF(J423="中",IF(K423="删除",I423*'模板使用说明&amp;基础参数'!$E$6*'模板使用说明&amp;基础参数'!$E$12,IF(K423="修改",I423*'模板使用说明&amp;基础参数'!$E$6*'模板使用说明&amp;基础参数'!$E$11,I423*'模板使用说明&amp;基础参数'!$E$6*'模板使用说明&amp;基础参数'!$E$10)),IF(K423="删除",I423*'模板使用说明&amp;基础参数'!$E$7*'模板使用说明&amp;基础参数'!$E$12,IF(K423="修改",I423*'模板使用说明&amp;基础参数'!$E$7*'模板使用说明&amp;基础参数'!$E$11,I423*'模板使用说明&amp;基础参数'!$E$7*'模板使用说明&amp;基础参数'!$E$10)))))</f>
        <v>1.06666666666667</v>
      </c>
      <c r="M423" s="95"/>
      <c r="N423" s="99"/>
      <c r="O423" s="100"/>
    </row>
    <row r="424" s="70" customFormat="1" ht="25" customHeight="1" spans="1:15">
      <c r="A424" s="93">
        <v>419</v>
      </c>
      <c r="B424" s="94" t="s">
        <v>72</v>
      </c>
      <c r="C424" s="95" t="s">
        <v>924</v>
      </c>
      <c r="D424" s="95" t="s">
        <v>925</v>
      </c>
      <c r="E424" s="95" t="s">
        <v>925</v>
      </c>
      <c r="F424" s="95" t="s">
        <v>932</v>
      </c>
      <c r="G424" s="95" t="s">
        <v>933</v>
      </c>
      <c r="H424" s="93" t="s">
        <v>84</v>
      </c>
      <c r="I424" s="96">
        <f>IF(H424="ILF",IF($C$1="预估功能点",'模板使用说明&amp;基础参数'!$E$15,7),IF(H424="EIF",IF($C$1="预估功能点",'模板使用说明&amp;基础参数'!$E$16,5),IF(H424="EI",IF($C$1="预估功能点",'模板使用说明&amp;基础参数'!$E$17,'模板使用说明&amp;基础参数'!$E$24),IF(H424="EO",IF($C$1="预估功能点",'模板使用说明&amp;基础参数'!$E$18,'模板使用说明&amp;基础参数'!$E$25),IF(H424="EQ",IF($C$1="预估功能点",'模板使用说明&amp;基础参数'!$E$19,'模板使用说明&amp;基础参数'!$E$26),"")))))</f>
        <v>4</v>
      </c>
      <c r="J424" s="97" t="s">
        <v>38</v>
      </c>
      <c r="K424" s="97" t="s">
        <v>78</v>
      </c>
      <c r="L424" s="98">
        <f>IF(I424="","",IF(J424="高",IF(K424="删除",I424*'模板使用说明&amp;基础参数'!$E$5*'模板使用说明&amp;基础参数'!$E$12,IF(K424="修改",I424*'模板使用说明&amp;基础参数'!$E$5*'模板使用说明&amp;基础参数'!$E$11,I424*'模板使用说明&amp;基础参数'!$E$5*'模板使用说明&amp;基础参数'!$E$10)),IF(J424="中",IF(K424="删除",I424*'模板使用说明&amp;基础参数'!$E$6*'模板使用说明&amp;基础参数'!$E$12,IF(K424="修改",I424*'模板使用说明&amp;基础参数'!$E$6*'模板使用说明&amp;基础参数'!$E$11,I424*'模板使用说明&amp;基础参数'!$E$6*'模板使用说明&amp;基础参数'!$E$10)),IF(K424="删除",I424*'模板使用说明&amp;基础参数'!$E$7*'模板使用说明&amp;基础参数'!$E$12,IF(K424="修改",I424*'模板使用说明&amp;基础参数'!$E$7*'模板使用说明&amp;基础参数'!$E$11,I424*'模板使用说明&amp;基础参数'!$E$7*'模板使用说明&amp;基础参数'!$E$10)))))</f>
        <v>1.06666666666667</v>
      </c>
      <c r="M424" s="95"/>
      <c r="N424" s="99"/>
      <c r="O424" s="100"/>
    </row>
    <row r="425" s="70" customFormat="1" ht="25" customHeight="1" spans="1:15">
      <c r="A425" s="93">
        <v>420</v>
      </c>
      <c r="B425" s="94" t="s">
        <v>72</v>
      </c>
      <c r="C425" s="95" t="s">
        <v>924</v>
      </c>
      <c r="D425" s="95" t="s">
        <v>925</v>
      </c>
      <c r="E425" s="95" t="s">
        <v>925</v>
      </c>
      <c r="F425" s="95" t="s">
        <v>934</v>
      </c>
      <c r="G425" s="95" t="s">
        <v>935</v>
      </c>
      <c r="H425" s="93" t="s">
        <v>84</v>
      </c>
      <c r="I425" s="96">
        <f>IF(H425="ILF",IF($C$1="预估功能点",'模板使用说明&amp;基础参数'!$E$15,7),IF(H425="EIF",IF($C$1="预估功能点",'模板使用说明&amp;基础参数'!$E$16,5),IF(H425="EI",IF($C$1="预估功能点",'模板使用说明&amp;基础参数'!$E$17,'模板使用说明&amp;基础参数'!$E$24),IF(H425="EO",IF($C$1="预估功能点",'模板使用说明&amp;基础参数'!$E$18,'模板使用说明&amp;基础参数'!$E$25),IF(H425="EQ",IF($C$1="预估功能点",'模板使用说明&amp;基础参数'!$E$19,'模板使用说明&amp;基础参数'!$E$26),"")))))</f>
        <v>4</v>
      </c>
      <c r="J425" s="97" t="s">
        <v>38</v>
      </c>
      <c r="K425" s="97" t="s">
        <v>78</v>
      </c>
      <c r="L425" s="98">
        <f>IF(I425="","",IF(J425="高",IF(K425="删除",I425*'模板使用说明&amp;基础参数'!$E$5*'模板使用说明&amp;基础参数'!$E$12,IF(K425="修改",I425*'模板使用说明&amp;基础参数'!$E$5*'模板使用说明&amp;基础参数'!$E$11,I425*'模板使用说明&amp;基础参数'!$E$5*'模板使用说明&amp;基础参数'!$E$10)),IF(J425="中",IF(K425="删除",I425*'模板使用说明&amp;基础参数'!$E$6*'模板使用说明&amp;基础参数'!$E$12,IF(K425="修改",I425*'模板使用说明&amp;基础参数'!$E$6*'模板使用说明&amp;基础参数'!$E$11,I425*'模板使用说明&amp;基础参数'!$E$6*'模板使用说明&amp;基础参数'!$E$10)),IF(K425="删除",I425*'模板使用说明&amp;基础参数'!$E$7*'模板使用说明&amp;基础参数'!$E$12,IF(K425="修改",I425*'模板使用说明&amp;基础参数'!$E$7*'模板使用说明&amp;基础参数'!$E$11,I425*'模板使用说明&amp;基础参数'!$E$7*'模板使用说明&amp;基础参数'!$E$10)))))</f>
        <v>1.06666666666667</v>
      </c>
      <c r="M425" s="95"/>
      <c r="N425" s="99"/>
      <c r="O425" s="100"/>
    </row>
    <row r="426" s="70" customFormat="1" ht="25" customHeight="1" spans="1:15">
      <c r="A426" s="93">
        <v>421</v>
      </c>
      <c r="B426" s="94" t="s">
        <v>72</v>
      </c>
      <c r="C426" s="95" t="s">
        <v>924</v>
      </c>
      <c r="D426" s="95" t="s">
        <v>925</v>
      </c>
      <c r="E426" s="95" t="s">
        <v>925</v>
      </c>
      <c r="F426" s="95" t="s">
        <v>936</v>
      </c>
      <c r="G426" s="95" t="s">
        <v>937</v>
      </c>
      <c r="H426" s="93" t="s">
        <v>77</v>
      </c>
      <c r="I426" s="96">
        <f>IF(H426="ILF",IF($C$1="预估功能点",'模板使用说明&amp;基础参数'!$E$15,7),IF(H426="EIF",IF($C$1="预估功能点",'模板使用说明&amp;基础参数'!$E$16,5),IF(H426="EI",IF($C$1="预估功能点",'模板使用说明&amp;基础参数'!$E$17,'模板使用说明&amp;基础参数'!$E$24),IF(H426="EO",IF($C$1="预估功能点",'模板使用说明&amp;基础参数'!$E$18,'模板使用说明&amp;基础参数'!$E$25),IF(H426="EQ",IF($C$1="预估功能点",'模板使用说明&amp;基础参数'!$E$19,'模板使用说明&amp;基础参数'!$E$26),"")))))</f>
        <v>7</v>
      </c>
      <c r="J426" s="97" t="s">
        <v>38</v>
      </c>
      <c r="K426" s="97" t="s">
        <v>78</v>
      </c>
      <c r="L426" s="98">
        <f>IF(I426="","",IF(J426="高",IF(K426="删除",I426*'模板使用说明&amp;基础参数'!$E$5*'模板使用说明&amp;基础参数'!$E$12,IF(K426="修改",I426*'模板使用说明&amp;基础参数'!$E$5*'模板使用说明&amp;基础参数'!$E$11,I426*'模板使用说明&amp;基础参数'!$E$5*'模板使用说明&amp;基础参数'!$E$10)),IF(J426="中",IF(K426="删除",I426*'模板使用说明&amp;基础参数'!$E$6*'模板使用说明&amp;基础参数'!$E$12,IF(K426="修改",I426*'模板使用说明&amp;基础参数'!$E$6*'模板使用说明&amp;基础参数'!$E$11,I426*'模板使用说明&amp;基础参数'!$E$6*'模板使用说明&amp;基础参数'!$E$10)),IF(K426="删除",I426*'模板使用说明&amp;基础参数'!$E$7*'模板使用说明&amp;基础参数'!$E$12,IF(K426="修改",I426*'模板使用说明&amp;基础参数'!$E$7*'模板使用说明&amp;基础参数'!$E$11,I426*'模板使用说明&amp;基础参数'!$E$7*'模板使用说明&amp;基础参数'!$E$10)))))</f>
        <v>1.86666666666666</v>
      </c>
      <c r="M426" s="95"/>
      <c r="N426" s="99"/>
      <c r="O426" s="100"/>
    </row>
    <row r="427" s="70" customFormat="1" ht="25" customHeight="1" spans="1:15">
      <c r="A427" s="93">
        <v>422</v>
      </c>
      <c r="B427" s="94" t="s">
        <v>72</v>
      </c>
      <c r="C427" s="95" t="s">
        <v>924</v>
      </c>
      <c r="D427" s="95" t="s">
        <v>925</v>
      </c>
      <c r="E427" s="95" t="s">
        <v>925</v>
      </c>
      <c r="F427" s="95" t="s">
        <v>938</v>
      </c>
      <c r="G427" s="95" t="s">
        <v>939</v>
      </c>
      <c r="H427" s="93" t="s">
        <v>81</v>
      </c>
      <c r="I427" s="96">
        <f>IF(H427="ILF",IF($C$1="预估功能点",'模板使用说明&amp;基础参数'!$E$15,7),IF(H427="EIF",IF($C$1="预估功能点",'模板使用说明&amp;基础参数'!$E$16,5),IF(H427="EI",IF($C$1="预估功能点",'模板使用说明&amp;基础参数'!$E$17,'模板使用说明&amp;基础参数'!$E$24),IF(H427="EO",IF($C$1="预估功能点",'模板使用说明&amp;基础参数'!$E$18,'模板使用说明&amp;基础参数'!$E$25),IF(H427="EQ",IF($C$1="预估功能点",'模板使用说明&amp;基础参数'!$E$19,'模板使用说明&amp;基础参数'!$E$26),"")))))</f>
        <v>4</v>
      </c>
      <c r="J427" s="97" t="s">
        <v>38</v>
      </c>
      <c r="K427" s="97" t="s">
        <v>78</v>
      </c>
      <c r="L427" s="98">
        <f>IF(I427="","",IF(J427="高",IF(K427="删除",I427*'模板使用说明&amp;基础参数'!$E$5*'模板使用说明&amp;基础参数'!$E$12,IF(K427="修改",I427*'模板使用说明&amp;基础参数'!$E$5*'模板使用说明&amp;基础参数'!$E$11,I427*'模板使用说明&amp;基础参数'!$E$5*'模板使用说明&amp;基础参数'!$E$10)),IF(J427="中",IF(K427="删除",I427*'模板使用说明&amp;基础参数'!$E$6*'模板使用说明&amp;基础参数'!$E$12,IF(K427="修改",I427*'模板使用说明&amp;基础参数'!$E$6*'模板使用说明&amp;基础参数'!$E$11,I427*'模板使用说明&amp;基础参数'!$E$6*'模板使用说明&amp;基础参数'!$E$10)),IF(K427="删除",I427*'模板使用说明&amp;基础参数'!$E$7*'模板使用说明&amp;基础参数'!$E$12,IF(K427="修改",I427*'模板使用说明&amp;基础参数'!$E$7*'模板使用说明&amp;基础参数'!$E$11,I427*'模板使用说明&amp;基础参数'!$E$7*'模板使用说明&amp;基础参数'!$E$10)))))</f>
        <v>1.06666666666667</v>
      </c>
      <c r="M427" s="95"/>
      <c r="N427" s="99"/>
      <c r="O427" s="100"/>
    </row>
    <row r="428" s="70" customFormat="1" ht="25" customHeight="1" spans="1:15">
      <c r="A428" s="93">
        <v>423</v>
      </c>
      <c r="B428" s="94" t="s">
        <v>72</v>
      </c>
      <c r="C428" s="95" t="s">
        <v>924</v>
      </c>
      <c r="D428" s="95" t="s">
        <v>925</v>
      </c>
      <c r="E428" s="95" t="s">
        <v>925</v>
      </c>
      <c r="F428" s="95" t="s">
        <v>940</v>
      </c>
      <c r="G428" s="95" t="s">
        <v>941</v>
      </c>
      <c r="H428" s="93" t="s">
        <v>84</v>
      </c>
      <c r="I428" s="96">
        <f>IF(H428="ILF",IF($C$1="预估功能点",'模板使用说明&amp;基础参数'!$E$15,7),IF(H428="EIF",IF($C$1="预估功能点",'模板使用说明&amp;基础参数'!$E$16,5),IF(H428="EI",IF($C$1="预估功能点",'模板使用说明&amp;基础参数'!$E$17,'模板使用说明&amp;基础参数'!$E$24),IF(H428="EO",IF($C$1="预估功能点",'模板使用说明&amp;基础参数'!$E$18,'模板使用说明&amp;基础参数'!$E$25),IF(H428="EQ",IF($C$1="预估功能点",'模板使用说明&amp;基础参数'!$E$19,'模板使用说明&amp;基础参数'!$E$26),"")))))</f>
        <v>4</v>
      </c>
      <c r="J428" s="97" t="s">
        <v>38</v>
      </c>
      <c r="K428" s="97" t="s">
        <v>78</v>
      </c>
      <c r="L428" s="98">
        <f>IF(I428="","",IF(J428="高",IF(K428="删除",I428*'模板使用说明&amp;基础参数'!$E$5*'模板使用说明&amp;基础参数'!$E$12,IF(K428="修改",I428*'模板使用说明&amp;基础参数'!$E$5*'模板使用说明&amp;基础参数'!$E$11,I428*'模板使用说明&amp;基础参数'!$E$5*'模板使用说明&amp;基础参数'!$E$10)),IF(J428="中",IF(K428="删除",I428*'模板使用说明&amp;基础参数'!$E$6*'模板使用说明&amp;基础参数'!$E$12,IF(K428="修改",I428*'模板使用说明&amp;基础参数'!$E$6*'模板使用说明&amp;基础参数'!$E$11,I428*'模板使用说明&amp;基础参数'!$E$6*'模板使用说明&amp;基础参数'!$E$10)),IF(K428="删除",I428*'模板使用说明&amp;基础参数'!$E$7*'模板使用说明&amp;基础参数'!$E$12,IF(K428="修改",I428*'模板使用说明&amp;基础参数'!$E$7*'模板使用说明&amp;基础参数'!$E$11,I428*'模板使用说明&amp;基础参数'!$E$7*'模板使用说明&amp;基础参数'!$E$10)))))</f>
        <v>1.06666666666667</v>
      </c>
      <c r="M428" s="95"/>
      <c r="N428" s="99"/>
      <c r="O428" s="100"/>
    </row>
    <row r="429" s="70" customFormat="1" ht="25" customHeight="1" spans="1:15">
      <c r="A429" s="93">
        <v>424</v>
      </c>
      <c r="B429" s="94" t="s">
        <v>72</v>
      </c>
      <c r="C429" s="95" t="s">
        <v>924</v>
      </c>
      <c r="D429" s="95" t="s">
        <v>925</v>
      </c>
      <c r="E429" s="95" t="s">
        <v>925</v>
      </c>
      <c r="F429" s="95" t="s">
        <v>942</v>
      </c>
      <c r="G429" s="95" t="s">
        <v>943</v>
      </c>
      <c r="H429" s="93" t="s">
        <v>84</v>
      </c>
      <c r="I429" s="96">
        <f>IF(H429="ILF",IF($C$1="预估功能点",'模板使用说明&amp;基础参数'!$E$15,7),IF(H429="EIF",IF($C$1="预估功能点",'模板使用说明&amp;基础参数'!$E$16,5),IF(H429="EI",IF($C$1="预估功能点",'模板使用说明&amp;基础参数'!$E$17,'模板使用说明&amp;基础参数'!$E$24),IF(H429="EO",IF($C$1="预估功能点",'模板使用说明&amp;基础参数'!$E$18,'模板使用说明&amp;基础参数'!$E$25),IF(H429="EQ",IF($C$1="预估功能点",'模板使用说明&amp;基础参数'!$E$19,'模板使用说明&amp;基础参数'!$E$26),"")))))</f>
        <v>4</v>
      </c>
      <c r="J429" s="97" t="s">
        <v>38</v>
      </c>
      <c r="K429" s="97" t="s">
        <v>78</v>
      </c>
      <c r="L429" s="98">
        <f>IF(I429="","",IF(J429="高",IF(K429="删除",I429*'模板使用说明&amp;基础参数'!$E$5*'模板使用说明&amp;基础参数'!$E$12,IF(K429="修改",I429*'模板使用说明&amp;基础参数'!$E$5*'模板使用说明&amp;基础参数'!$E$11,I429*'模板使用说明&amp;基础参数'!$E$5*'模板使用说明&amp;基础参数'!$E$10)),IF(J429="中",IF(K429="删除",I429*'模板使用说明&amp;基础参数'!$E$6*'模板使用说明&amp;基础参数'!$E$12,IF(K429="修改",I429*'模板使用说明&amp;基础参数'!$E$6*'模板使用说明&amp;基础参数'!$E$11,I429*'模板使用说明&amp;基础参数'!$E$6*'模板使用说明&amp;基础参数'!$E$10)),IF(K429="删除",I429*'模板使用说明&amp;基础参数'!$E$7*'模板使用说明&amp;基础参数'!$E$12,IF(K429="修改",I429*'模板使用说明&amp;基础参数'!$E$7*'模板使用说明&amp;基础参数'!$E$11,I429*'模板使用说明&amp;基础参数'!$E$7*'模板使用说明&amp;基础参数'!$E$10)))))</f>
        <v>1.06666666666667</v>
      </c>
      <c r="M429" s="95"/>
      <c r="N429" s="99"/>
      <c r="O429" s="100"/>
    </row>
    <row r="430" s="70" customFormat="1" ht="25" customHeight="1" spans="1:15">
      <c r="A430" s="93">
        <v>425</v>
      </c>
      <c r="B430" s="94" t="s">
        <v>72</v>
      </c>
      <c r="C430" s="95" t="s">
        <v>924</v>
      </c>
      <c r="D430" s="95" t="s">
        <v>925</v>
      </c>
      <c r="E430" s="95" t="s">
        <v>925</v>
      </c>
      <c r="F430" s="95" t="s">
        <v>944</v>
      </c>
      <c r="G430" s="95" t="s">
        <v>945</v>
      </c>
      <c r="H430" s="93" t="s">
        <v>84</v>
      </c>
      <c r="I430" s="96">
        <f>IF(H430="ILF",IF($C$1="预估功能点",'模板使用说明&amp;基础参数'!$E$15,7),IF(H430="EIF",IF($C$1="预估功能点",'模板使用说明&amp;基础参数'!$E$16,5),IF(H430="EI",IF($C$1="预估功能点",'模板使用说明&amp;基础参数'!$E$17,'模板使用说明&amp;基础参数'!$E$24),IF(H430="EO",IF($C$1="预估功能点",'模板使用说明&amp;基础参数'!$E$18,'模板使用说明&amp;基础参数'!$E$25),IF(H430="EQ",IF($C$1="预估功能点",'模板使用说明&amp;基础参数'!$E$19,'模板使用说明&amp;基础参数'!$E$26),"")))))</f>
        <v>4</v>
      </c>
      <c r="J430" s="97" t="s">
        <v>38</v>
      </c>
      <c r="K430" s="97" t="s">
        <v>78</v>
      </c>
      <c r="L430" s="98">
        <f>IF(I430="","",IF(J430="高",IF(K430="删除",I430*'模板使用说明&amp;基础参数'!$E$5*'模板使用说明&amp;基础参数'!$E$12,IF(K430="修改",I430*'模板使用说明&amp;基础参数'!$E$5*'模板使用说明&amp;基础参数'!$E$11,I430*'模板使用说明&amp;基础参数'!$E$5*'模板使用说明&amp;基础参数'!$E$10)),IF(J430="中",IF(K430="删除",I430*'模板使用说明&amp;基础参数'!$E$6*'模板使用说明&amp;基础参数'!$E$12,IF(K430="修改",I430*'模板使用说明&amp;基础参数'!$E$6*'模板使用说明&amp;基础参数'!$E$11,I430*'模板使用说明&amp;基础参数'!$E$6*'模板使用说明&amp;基础参数'!$E$10)),IF(K430="删除",I430*'模板使用说明&amp;基础参数'!$E$7*'模板使用说明&amp;基础参数'!$E$12,IF(K430="修改",I430*'模板使用说明&amp;基础参数'!$E$7*'模板使用说明&amp;基础参数'!$E$11,I430*'模板使用说明&amp;基础参数'!$E$7*'模板使用说明&amp;基础参数'!$E$10)))))</f>
        <v>1.06666666666667</v>
      </c>
      <c r="M430" s="95"/>
      <c r="N430" s="99"/>
      <c r="O430" s="100"/>
    </row>
    <row r="431" s="70" customFormat="1" ht="25" customHeight="1" spans="1:15">
      <c r="A431" s="93">
        <v>426</v>
      </c>
      <c r="B431" s="94" t="s">
        <v>72</v>
      </c>
      <c r="C431" s="95" t="s">
        <v>924</v>
      </c>
      <c r="D431" s="95" t="s">
        <v>925</v>
      </c>
      <c r="E431" s="95" t="s">
        <v>925</v>
      </c>
      <c r="F431" s="95" t="s">
        <v>946</v>
      </c>
      <c r="G431" s="95" t="s">
        <v>947</v>
      </c>
      <c r="H431" s="93" t="s">
        <v>77</v>
      </c>
      <c r="I431" s="96">
        <f>IF(H431="ILF",IF($C$1="预估功能点",'模板使用说明&amp;基础参数'!$E$15,7),IF(H431="EIF",IF($C$1="预估功能点",'模板使用说明&amp;基础参数'!$E$16,5),IF(H431="EI",IF($C$1="预估功能点",'模板使用说明&amp;基础参数'!$E$17,'模板使用说明&amp;基础参数'!$E$24),IF(H431="EO",IF($C$1="预估功能点",'模板使用说明&amp;基础参数'!$E$18,'模板使用说明&amp;基础参数'!$E$25),IF(H431="EQ",IF($C$1="预估功能点",'模板使用说明&amp;基础参数'!$E$19,'模板使用说明&amp;基础参数'!$E$26),"")))))</f>
        <v>7</v>
      </c>
      <c r="J431" s="97" t="s">
        <v>38</v>
      </c>
      <c r="K431" s="97" t="s">
        <v>78</v>
      </c>
      <c r="L431" s="98">
        <f>IF(I431="","",IF(J431="高",IF(K431="删除",I431*'模板使用说明&amp;基础参数'!$E$5*'模板使用说明&amp;基础参数'!$E$12,IF(K431="修改",I431*'模板使用说明&amp;基础参数'!$E$5*'模板使用说明&amp;基础参数'!$E$11,I431*'模板使用说明&amp;基础参数'!$E$5*'模板使用说明&amp;基础参数'!$E$10)),IF(J431="中",IF(K431="删除",I431*'模板使用说明&amp;基础参数'!$E$6*'模板使用说明&amp;基础参数'!$E$12,IF(K431="修改",I431*'模板使用说明&amp;基础参数'!$E$6*'模板使用说明&amp;基础参数'!$E$11,I431*'模板使用说明&amp;基础参数'!$E$6*'模板使用说明&amp;基础参数'!$E$10)),IF(K431="删除",I431*'模板使用说明&amp;基础参数'!$E$7*'模板使用说明&amp;基础参数'!$E$12,IF(K431="修改",I431*'模板使用说明&amp;基础参数'!$E$7*'模板使用说明&amp;基础参数'!$E$11,I431*'模板使用说明&amp;基础参数'!$E$7*'模板使用说明&amp;基础参数'!$E$10)))))</f>
        <v>1.86666666666666</v>
      </c>
      <c r="M431" s="95"/>
      <c r="N431" s="99"/>
      <c r="O431" s="100"/>
    </row>
    <row r="432" s="70" customFormat="1" ht="25" customHeight="1" spans="1:15">
      <c r="A432" s="93">
        <v>427</v>
      </c>
      <c r="B432" s="94" t="s">
        <v>72</v>
      </c>
      <c r="C432" s="95" t="s">
        <v>924</v>
      </c>
      <c r="D432" s="95" t="s">
        <v>925</v>
      </c>
      <c r="E432" s="95" t="s">
        <v>925</v>
      </c>
      <c r="F432" s="95" t="s">
        <v>948</v>
      </c>
      <c r="G432" s="95" t="s">
        <v>949</v>
      </c>
      <c r="H432" s="93" t="s">
        <v>81</v>
      </c>
      <c r="I432" s="96">
        <f>IF(H432="ILF",IF($C$1="预估功能点",'模板使用说明&amp;基础参数'!$E$15,7),IF(H432="EIF",IF($C$1="预估功能点",'模板使用说明&amp;基础参数'!$E$16,5),IF(H432="EI",IF($C$1="预估功能点",'模板使用说明&amp;基础参数'!$E$17,'模板使用说明&amp;基础参数'!$E$24),IF(H432="EO",IF($C$1="预估功能点",'模板使用说明&amp;基础参数'!$E$18,'模板使用说明&amp;基础参数'!$E$25),IF(H432="EQ",IF($C$1="预估功能点",'模板使用说明&amp;基础参数'!$E$19,'模板使用说明&amp;基础参数'!$E$26),"")))))</f>
        <v>4</v>
      </c>
      <c r="J432" s="97" t="s">
        <v>38</v>
      </c>
      <c r="K432" s="97" t="s">
        <v>78</v>
      </c>
      <c r="L432" s="98">
        <f>IF(I432="","",IF(J432="高",IF(K432="删除",I432*'模板使用说明&amp;基础参数'!$E$5*'模板使用说明&amp;基础参数'!$E$12,IF(K432="修改",I432*'模板使用说明&amp;基础参数'!$E$5*'模板使用说明&amp;基础参数'!$E$11,I432*'模板使用说明&amp;基础参数'!$E$5*'模板使用说明&amp;基础参数'!$E$10)),IF(J432="中",IF(K432="删除",I432*'模板使用说明&amp;基础参数'!$E$6*'模板使用说明&amp;基础参数'!$E$12,IF(K432="修改",I432*'模板使用说明&amp;基础参数'!$E$6*'模板使用说明&amp;基础参数'!$E$11,I432*'模板使用说明&amp;基础参数'!$E$6*'模板使用说明&amp;基础参数'!$E$10)),IF(K432="删除",I432*'模板使用说明&amp;基础参数'!$E$7*'模板使用说明&amp;基础参数'!$E$12,IF(K432="修改",I432*'模板使用说明&amp;基础参数'!$E$7*'模板使用说明&amp;基础参数'!$E$11,I432*'模板使用说明&amp;基础参数'!$E$7*'模板使用说明&amp;基础参数'!$E$10)))))</f>
        <v>1.06666666666667</v>
      </c>
      <c r="M432" s="95"/>
      <c r="N432" s="99"/>
      <c r="O432" s="100"/>
    </row>
    <row r="433" s="70" customFormat="1" ht="25" customHeight="1" spans="1:15">
      <c r="A433" s="93">
        <v>428</v>
      </c>
      <c r="B433" s="94" t="s">
        <v>72</v>
      </c>
      <c r="C433" s="95" t="s">
        <v>924</v>
      </c>
      <c r="D433" s="95" t="s">
        <v>925</v>
      </c>
      <c r="E433" s="95" t="s">
        <v>925</v>
      </c>
      <c r="F433" s="95" t="s">
        <v>950</v>
      </c>
      <c r="G433" s="95" t="s">
        <v>951</v>
      </c>
      <c r="H433" s="93" t="s">
        <v>84</v>
      </c>
      <c r="I433" s="96">
        <f>IF(H433="ILF",IF($C$1="预估功能点",'模板使用说明&amp;基础参数'!$E$15,7),IF(H433="EIF",IF($C$1="预估功能点",'模板使用说明&amp;基础参数'!$E$16,5),IF(H433="EI",IF($C$1="预估功能点",'模板使用说明&amp;基础参数'!$E$17,'模板使用说明&amp;基础参数'!$E$24),IF(H433="EO",IF($C$1="预估功能点",'模板使用说明&amp;基础参数'!$E$18,'模板使用说明&amp;基础参数'!$E$25),IF(H433="EQ",IF($C$1="预估功能点",'模板使用说明&amp;基础参数'!$E$19,'模板使用说明&amp;基础参数'!$E$26),"")))))</f>
        <v>4</v>
      </c>
      <c r="J433" s="97" t="s">
        <v>38</v>
      </c>
      <c r="K433" s="97" t="s">
        <v>78</v>
      </c>
      <c r="L433" s="98">
        <f>IF(I433="","",IF(J433="高",IF(K433="删除",I433*'模板使用说明&amp;基础参数'!$E$5*'模板使用说明&amp;基础参数'!$E$12,IF(K433="修改",I433*'模板使用说明&amp;基础参数'!$E$5*'模板使用说明&amp;基础参数'!$E$11,I433*'模板使用说明&amp;基础参数'!$E$5*'模板使用说明&amp;基础参数'!$E$10)),IF(J433="中",IF(K433="删除",I433*'模板使用说明&amp;基础参数'!$E$6*'模板使用说明&amp;基础参数'!$E$12,IF(K433="修改",I433*'模板使用说明&amp;基础参数'!$E$6*'模板使用说明&amp;基础参数'!$E$11,I433*'模板使用说明&amp;基础参数'!$E$6*'模板使用说明&amp;基础参数'!$E$10)),IF(K433="删除",I433*'模板使用说明&amp;基础参数'!$E$7*'模板使用说明&amp;基础参数'!$E$12,IF(K433="修改",I433*'模板使用说明&amp;基础参数'!$E$7*'模板使用说明&amp;基础参数'!$E$11,I433*'模板使用说明&amp;基础参数'!$E$7*'模板使用说明&amp;基础参数'!$E$10)))))</f>
        <v>1.06666666666667</v>
      </c>
      <c r="M433" s="95"/>
      <c r="N433" s="99"/>
      <c r="O433" s="100"/>
    </row>
    <row r="434" s="70" customFormat="1" ht="25" customHeight="1" spans="1:15">
      <c r="A434" s="93">
        <v>429</v>
      </c>
      <c r="B434" s="94" t="s">
        <v>72</v>
      </c>
      <c r="C434" s="95" t="s">
        <v>924</v>
      </c>
      <c r="D434" s="95" t="s">
        <v>925</v>
      </c>
      <c r="E434" s="95" t="s">
        <v>925</v>
      </c>
      <c r="F434" s="95" t="s">
        <v>952</v>
      </c>
      <c r="G434" s="95" t="s">
        <v>953</v>
      </c>
      <c r="H434" s="93" t="s">
        <v>84</v>
      </c>
      <c r="I434" s="96">
        <f>IF(H434="ILF",IF($C$1="预估功能点",'模板使用说明&amp;基础参数'!$E$15,7),IF(H434="EIF",IF($C$1="预估功能点",'模板使用说明&amp;基础参数'!$E$16,5),IF(H434="EI",IF($C$1="预估功能点",'模板使用说明&amp;基础参数'!$E$17,'模板使用说明&amp;基础参数'!$E$24),IF(H434="EO",IF($C$1="预估功能点",'模板使用说明&amp;基础参数'!$E$18,'模板使用说明&amp;基础参数'!$E$25),IF(H434="EQ",IF($C$1="预估功能点",'模板使用说明&amp;基础参数'!$E$19,'模板使用说明&amp;基础参数'!$E$26),"")))))</f>
        <v>4</v>
      </c>
      <c r="J434" s="97" t="s">
        <v>38</v>
      </c>
      <c r="K434" s="97" t="s">
        <v>78</v>
      </c>
      <c r="L434" s="98">
        <f>IF(I434="","",IF(J434="高",IF(K434="删除",I434*'模板使用说明&amp;基础参数'!$E$5*'模板使用说明&amp;基础参数'!$E$12,IF(K434="修改",I434*'模板使用说明&amp;基础参数'!$E$5*'模板使用说明&amp;基础参数'!$E$11,I434*'模板使用说明&amp;基础参数'!$E$5*'模板使用说明&amp;基础参数'!$E$10)),IF(J434="中",IF(K434="删除",I434*'模板使用说明&amp;基础参数'!$E$6*'模板使用说明&amp;基础参数'!$E$12,IF(K434="修改",I434*'模板使用说明&amp;基础参数'!$E$6*'模板使用说明&amp;基础参数'!$E$11,I434*'模板使用说明&amp;基础参数'!$E$6*'模板使用说明&amp;基础参数'!$E$10)),IF(K434="删除",I434*'模板使用说明&amp;基础参数'!$E$7*'模板使用说明&amp;基础参数'!$E$12,IF(K434="修改",I434*'模板使用说明&amp;基础参数'!$E$7*'模板使用说明&amp;基础参数'!$E$11,I434*'模板使用说明&amp;基础参数'!$E$7*'模板使用说明&amp;基础参数'!$E$10)))))</f>
        <v>1.06666666666667</v>
      </c>
      <c r="M434" s="95"/>
      <c r="N434" s="99"/>
      <c r="O434" s="100"/>
    </row>
    <row r="435" s="70" customFormat="1" ht="25" customHeight="1" spans="1:15">
      <c r="A435" s="93">
        <v>430</v>
      </c>
      <c r="B435" s="94" t="s">
        <v>72</v>
      </c>
      <c r="C435" s="95" t="s">
        <v>924</v>
      </c>
      <c r="D435" s="95" t="s">
        <v>925</v>
      </c>
      <c r="E435" s="95" t="s">
        <v>925</v>
      </c>
      <c r="F435" s="95" t="s">
        <v>954</v>
      </c>
      <c r="G435" s="95" t="s">
        <v>955</v>
      </c>
      <c r="H435" s="93" t="s">
        <v>84</v>
      </c>
      <c r="I435" s="96">
        <f>IF(H435="ILF",IF($C$1="预估功能点",'模板使用说明&amp;基础参数'!$E$15,7),IF(H435="EIF",IF($C$1="预估功能点",'模板使用说明&amp;基础参数'!$E$16,5),IF(H435="EI",IF($C$1="预估功能点",'模板使用说明&amp;基础参数'!$E$17,'模板使用说明&amp;基础参数'!$E$24),IF(H435="EO",IF($C$1="预估功能点",'模板使用说明&amp;基础参数'!$E$18,'模板使用说明&amp;基础参数'!$E$25),IF(H435="EQ",IF($C$1="预估功能点",'模板使用说明&amp;基础参数'!$E$19,'模板使用说明&amp;基础参数'!$E$26),"")))))</f>
        <v>4</v>
      </c>
      <c r="J435" s="97" t="s">
        <v>38</v>
      </c>
      <c r="K435" s="97" t="s">
        <v>78</v>
      </c>
      <c r="L435" s="98">
        <f>IF(I435="","",IF(J435="高",IF(K435="删除",I435*'模板使用说明&amp;基础参数'!$E$5*'模板使用说明&amp;基础参数'!$E$12,IF(K435="修改",I435*'模板使用说明&amp;基础参数'!$E$5*'模板使用说明&amp;基础参数'!$E$11,I435*'模板使用说明&amp;基础参数'!$E$5*'模板使用说明&amp;基础参数'!$E$10)),IF(J435="中",IF(K435="删除",I435*'模板使用说明&amp;基础参数'!$E$6*'模板使用说明&amp;基础参数'!$E$12,IF(K435="修改",I435*'模板使用说明&amp;基础参数'!$E$6*'模板使用说明&amp;基础参数'!$E$11,I435*'模板使用说明&amp;基础参数'!$E$6*'模板使用说明&amp;基础参数'!$E$10)),IF(K435="删除",I435*'模板使用说明&amp;基础参数'!$E$7*'模板使用说明&amp;基础参数'!$E$12,IF(K435="修改",I435*'模板使用说明&amp;基础参数'!$E$7*'模板使用说明&amp;基础参数'!$E$11,I435*'模板使用说明&amp;基础参数'!$E$7*'模板使用说明&amp;基础参数'!$E$10)))))</f>
        <v>1.06666666666667</v>
      </c>
      <c r="M435" s="95"/>
      <c r="N435" s="99"/>
      <c r="O435" s="100"/>
    </row>
    <row r="436" s="70" customFormat="1" ht="25" customHeight="1" spans="1:15">
      <c r="A436" s="93">
        <v>431</v>
      </c>
      <c r="B436" s="94" t="s">
        <v>72</v>
      </c>
      <c r="C436" s="95" t="s">
        <v>924</v>
      </c>
      <c r="D436" s="95" t="s">
        <v>925</v>
      </c>
      <c r="E436" s="95" t="s">
        <v>925</v>
      </c>
      <c r="F436" s="95" t="s">
        <v>956</v>
      </c>
      <c r="G436" s="95" t="s">
        <v>957</v>
      </c>
      <c r="H436" s="93" t="s">
        <v>77</v>
      </c>
      <c r="I436" s="96">
        <f>IF(H436="ILF",IF($C$1="预估功能点",'模板使用说明&amp;基础参数'!$E$15,7),IF(H436="EIF",IF($C$1="预估功能点",'模板使用说明&amp;基础参数'!$E$16,5),IF(H436="EI",IF($C$1="预估功能点",'模板使用说明&amp;基础参数'!$E$17,'模板使用说明&amp;基础参数'!$E$24),IF(H436="EO",IF($C$1="预估功能点",'模板使用说明&amp;基础参数'!$E$18,'模板使用说明&amp;基础参数'!$E$25),IF(H436="EQ",IF($C$1="预估功能点",'模板使用说明&amp;基础参数'!$E$19,'模板使用说明&amp;基础参数'!$E$26),"")))))</f>
        <v>7</v>
      </c>
      <c r="J436" s="97" t="s">
        <v>38</v>
      </c>
      <c r="K436" s="97" t="s">
        <v>78</v>
      </c>
      <c r="L436" s="98">
        <f>IF(I436="","",IF(J436="高",IF(K436="删除",I436*'模板使用说明&amp;基础参数'!$E$5*'模板使用说明&amp;基础参数'!$E$12,IF(K436="修改",I436*'模板使用说明&amp;基础参数'!$E$5*'模板使用说明&amp;基础参数'!$E$11,I436*'模板使用说明&amp;基础参数'!$E$5*'模板使用说明&amp;基础参数'!$E$10)),IF(J436="中",IF(K436="删除",I436*'模板使用说明&amp;基础参数'!$E$6*'模板使用说明&amp;基础参数'!$E$12,IF(K436="修改",I436*'模板使用说明&amp;基础参数'!$E$6*'模板使用说明&amp;基础参数'!$E$11,I436*'模板使用说明&amp;基础参数'!$E$6*'模板使用说明&amp;基础参数'!$E$10)),IF(K436="删除",I436*'模板使用说明&amp;基础参数'!$E$7*'模板使用说明&amp;基础参数'!$E$12,IF(K436="修改",I436*'模板使用说明&amp;基础参数'!$E$7*'模板使用说明&amp;基础参数'!$E$11,I436*'模板使用说明&amp;基础参数'!$E$7*'模板使用说明&amp;基础参数'!$E$10)))))</f>
        <v>1.86666666666666</v>
      </c>
      <c r="M436" s="95"/>
      <c r="N436" s="99"/>
      <c r="O436" s="100"/>
    </row>
    <row r="437" s="70" customFormat="1" ht="25" customHeight="1" spans="1:15">
      <c r="A437" s="93">
        <v>432</v>
      </c>
      <c r="B437" s="94" t="s">
        <v>72</v>
      </c>
      <c r="C437" s="95" t="s">
        <v>924</v>
      </c>
      <c r="D437" s="95" t="s">
        <v>925</v>
      </c>
      <c r="E437" s="95" t="s">
        <v>925</v>
      </c>
      <c r="F437" s="95" t="s">
        <v>958</v>
      </c>
      <c r="G437" s="95" t="s">
        <v>959</v>
      </c>
      <c r="H437" s="93" t="s">
        <v>81</v>
      </c>
      <c r="I437" s="96">
        <f>IF(H437="ILF",IF($C$1="预估功能点",'模板使用说明&amp;基础参数'!$E$15,7),IF(H437="EIF",IF($C$1="预估功能点",'模板使用说明&amp;基础参数'!$E$16,5),IF(H437="EI",IF($C$1="预估功能点",'模板使用说明&amp;基础参数'!$E$17,'模板使用说明&amp;基础参数'!$E$24),IF(H437="EO",IF($C$1="预估功能点",'模板使用说明&amp;基础参数'!$E$18,'模板使用说明&amp;基础参数'!$E$25),IF(H437="EQ",IF($C$1="预估功能点",'模板使用说明&amp;基础参数'!$E$19,'模板使用说明&amp;基础参数'!$E$26),"")))))</f>
        <v>4</v>
      </c>
      <c r="J437" s="97" t="s">
        <v>38</v>
      </c>
      <c r="K437" s="97" t="s">
        <v>78</v>
      </c>
      <c r="L437" s="98">
        <f>IF(I437="","",IF(J437="高",IF(K437="删除",I437*'模板使用说明&amp;基础参数'!$E$5*'模板使用说明&amp;基础参数'!$E$12,IF(K437="修改",I437*'模板使用说明&amp;基础参数'!$E$5*'模板使用说明&amp;基础参数'!$E$11,I437*'模板使用说明&amp;基础参数'!$E$5*'模板使用说明&amp;基础参数'!$E$10)),IF(J437="中",IF(K437="删除",I437*'模板使用说明&amp;基础参数'!$E$6*'模板使用说明&amp;基础参数'!$E$12,IF(K437="修改",I437*'模板使用说明&amp;基础参数'!$E$6*'模板使用说明&amp;基础参数'!$E$11,I437*'模板使用说明&amp;基础参数'!$E$6*'模板使用说明&amp;基础参数'!$E$10)),IF(K437="删除",I437*'模板使用说明&amp;基础参数'!$E$7*'模板使用说明&amp;基础参数'!$E$12,IF(K437="修改",I437*'模板使用说明&amp;基础参数'!$E$7*'模板使用说明&amp;基础参数'!$E$11,I437*'模板使用说明&amp;基础参数'!$E$7*'模板使用说明&amp;基础参数'!$E$10)))))</f>
        <v>1.06666666666667</v>
      </c>
      <c r="M437" s="95"/>
      <c r="N437" s="99"/>
      <c r="O437" s="100"/>
    </row>
    <row r="438" s="70" customFormat="1" ht="25" customHeight="1" spans="1:15">
      <c r="A438" s="93">
        <v>433</v>
      </c>
      <c r="B438" s="94" t="s">
        <v>72</v>
      </c>
      <c r="C438" s="95" t="s">
        <v>924</v>
      </c>
      <c r="D438" s="95" t="s">
        <v>925</v>
      </c>
      <c r="E438" s="95" t="s">
        <v>925</v>
      </c>
      <c r="F438" s="95" t="s">
        <v>960</v>
      </c>
      <c r="G438" s="95" t="s">
        <v>961</v>
      </c>
      <c r="H438" s="93" t="s">
        <v>84</v>
      </c>
      <c r="I438" s="96">
        <f>IF(H438="ILF",IF($C$1="预估功能点",'模板使用说明&amp;基础参数'!$E$15,7),IF(H438="EIF",IF($C$1="预估功能点",'模板使用说明&amp;基础参数'!$E$16,5),IF(H438="EI",IF($C$1="预估功能点",'模板使用说明&amp;基础参数'!$E$17,'模板使用说明&amp;基础参数'!$E$24),IF(H438="EO",IF($C$1="预估功能点",'模板使用说明&amp;基础参数'!$E$18,'模板使用说明&amp;基础参数'!$E$25),IF(H438="EQ",IF($C$1="预估功能点",'模板使用说明&amp;基础参数'!$E$19,'模板使用说明&amp;基础参数'!$E$26),"")))))</f>
        <v>4</v>
      </c>
      <c r="J438" s="97" t="s">
        <v>38</v>
      </c>
      <c r="K438" s="97" t="s">
        <v>78</v>
      </c>
      <c r="L438" s="98">
        <f>IF(I438="","",IF(J438="高",IF(K438="删除",I438*'模板使用说明&amp;基础参数'!$E$5*'模板使用说明&amp;基础参数'!$E$12,IF(K438="修改",I438*'模板使用说明&amp;基础参数'!$E$5*'模板使用说明&amp;基础参数'!$E$11,I438*'模板使用说明&amp;基础参数'!$E$5*'模板使用说明&amp;基础参数'!$E$10)),IF(J438="中",IF(K438="删除",I438*'模板使用说明&amp;基础参数'!$E$6*'模板使用说明&amp;基础参数'!$E$12,IF(K438="修改",I438*'模板使用说明&amp;基础参数'!$E$6*'模板使用说明&amp;基础参数'!$E$11,I438*'模板使用说明&amp;基础参数'!$E$6*'模板使用说明&amp;基础参数'!$E$10)),IF(K438="删除",I438*'模板使用说明&amp;基础参数'!$E$7*'模板使用说明&amp;基础参数'!$E$12,IF(K438="修改",I438*'模板使用说明&amp;基础参数'!$E$7*'模板使用说明&amp;基础参数'!$E$11,I438*'模板使用说明&amp;基础参数'!$E$7*'模板使用说明&amp;基础参数'!$E$10)))))</f>
        <v>1.06666666666667</v>
      </c>
      <c r="M438" s="95"/>
      <c r="N438" s="99"/>
      <c r="O438" s="100"/>
    </row>
    <row r="439" s="70" customFormat="1" ht="25" customHeight="1" spans="1:15">
      <c r="A439" s="93">
        <v>434</v>
      </c>
      <c r="B439" s="94" t="s">
        <v>72</v>
      </c>
      <c r="C439" s="95" t="s">
        <v>924</v>
      </c>
      <c r="D439" s="95" t="s">
        <v>925</v>
      </c>
      <c r="E439" s="95" t="s">
        <v>925</v>
      </c>
      <c r="F439" s="95" t="s">
        <v>962</v>
      </c>
      <c r="G439" s="95" t="s">
        <v>963</v>
      </c>
      <c r="H439" s="93" t="s">
        <v>84</v>
      </c>
      <c r="I439" s="96">
        <f>IF(H439="ILF",IF($C$1="预估功能点",'模板使用说明&amp;基础参数'!$E$15,7),IF(H439="EIF",IF($C$1="预估功能点",'模板使用说明&amp;基础参数'!$E$16,5),IF(H439="EI",IF($C$1="预估功能点",'模板使用说明&amp;基础参数'!$E$17,'模板使用说明&amp;基础参数'!$E$24),IF(H439="EO",IF($C$1="预估功能点",'模板使用说明&amp;基础参数'!$E$18,'模板使用说明&amp;基础参数'!$E$25),IF(H439="EQ",IF($C$1="预估功能点",'模板使用说明&amp;基础参数'!$E$19,'模板使用说明&amp;基础参数'!$E$26),"")))))</f>
        <v>4</v>
      </c>
      <c r="J439" s="97" t="s">
        <v>38</v>
      </c>
      <c r="K439" s="97" t="s">
        <v>78</v>
      </c>
      <c r="L439" s="98">
        <f>IF(I439="","",IF(J439="高",IF(K439="删除",I439*'模板使用说明&amp;基础参数'!$E$5*'模板使用说明&amp;基础参数'!$E$12,IF(K439="修改",I439*'模板使用说明&amp;基础参数'!$E$5*'模板使用说明&amp;基础参数'!$E$11,I439*'模板使用说明&amp;基础参数'!$E$5*'模板使用说明&amp;基础参数'!$E$10)),IF(J439="中",IF(K439="删除",I439*'模板使用说明&amp;基础参数'!$E$6*'模板使用说明&amp;基础参数'!$E$12,IF(K439="修改",I439*'模板使用说明&amp;基础参数'!$E$6*'模板使用说明&amp;基础参数'!$E$11,I439*'模板使用说明&amp;基础参数'!$E$6*'模板使用说明&amp;基础参数'!$E$10)),IF(K439="删除",I439*'模板使用说明&amp;基础参数'!$E$7*'模板使用说明&amp;基础参数'!$E$12,IF(K439="修改",I439*'模板使用说明&amp;基础参数'!$E$7*'模板使用说明&amp;基础参数'!$E$11,I439*'模板使用说明&amp;基础参数'!$E$7*'模板使用说明&amp;基础参数'!$E$10)))))</f>
        <v>1.06666666666667</v>
      </c>
      <c r="M439" s="95"/>
      <c r="N439" s="99"/>
      <c r="O439" s="100"/>
    </row>
    <row r="440" s="70" customFormat="1" ht="25" customHeight="1" spans="1:15">
      <c r="A440" s="93">
        <v>435</v>
      </c>
      <c r="B440" s="94" t="s">
        <v>72</v>
      </c>
      <c r="C440" s="95" t="s">
        <v>924</v>
      </c>
      <c r="D440" s="95" t="s">
        <v>925</v>
      </c>
      <c r="E440" s="95" t="s">
        <v>925</v>
      </c>
      <c r="F440" s="95" t="s">
        <v>964</v>
      </c>
      <c r="G440" s="95" t="s">
        <v>965</v>
      </c>
      <c r="H440" s="93" t="s">
        <v>84</v>
      </c>
      <c r="I440" s="96">
        <f>IF(H440="ILF",IF($C$1="预估功能点",'模板使用说明&amp;基础参数'!$E$15,7),IF(H440="EIF",IF($C$1="预估功能点",'模板使用说明&amp;基础参数'!$E$16,5),IF(H440="EI",IF($C$1="预估功能点",'模板使用说明&amp;基础参数'!$E$17,'模板使用说明&amp;基础参数'!$E$24),IF(H440="EO",IF($C$1="预估功能点",'模板使用说明&amp;基础参数'!$E$18,'模板使用说明&amp;基础参数'!$E$25),IF(H440="EQ",IF($C$1="预估功能点",'模板使用说明&amp;基础参数'!$E$19,'模板使用说明&amp;基础参数'!$E$26),"")))))</f>
        <v>4</v>
      </c>
      <c r="J440" s="97" t="s">
        <v>38</v>
      </c>
      <c r="K440" s="97" t="s">
        <v>78</v>
      </c>
      <c r="L440" s="98">
        <f>IF(I440="","",IF(J440="高",IF(K440="删除",I440*'模板使用说明&amp;基础参数'!$E$5*'模板使用说明&amp;基础参数'!$E$12,IF(K440="修改",I440*'模板使用说明&amp;基础参数'!$E$5*'模板使用说明&amp;基础参数'!$E$11,I440*'模板使用说明&amp;基础参数'!$E$5*'模板使用说明&amp;基础参数'!$E$10)),IF(J440="中",IF(K440="删除",I440*'模板使用说明&amp;基础参数'!$E$6*'模板使用说明&amp;基础参数'!$E$12,IF(K440="修改",I440*'模板使用说明&amp;基础参数'!$E$6*'模板使用说明&amp;基础参数'!$E$11,I440*'模板使用说明&amp;基础参数'!$E$6*'模板使用说明&amp;基础参数'!$E$10)),IF(K440="删除",I440*'模板使用说明&amp;基础参数'!$E$7*'模板使用说明&amp;基础参数'!$E$12,IF(K440="修改",I440*'模板使用说明&amp;基础参数'!$E$7*'模板使用说明&amp;基础参数'!$E$11,I440*'模板使用说明&amp;基础参数'!$E$7*'模板使用说明&amp;基础参数'!$E$10)))))</f>
        <v>1.06666666666667</v>
      </c>
      <c r="M440" s="95"/>
      <c r="N440" s="99"/>
      <c r="O440" s="100"/>
    </row>
    <row r="441" s="70" customFormat="1" ht="25" customHeight="1" spans="1:15">
      <c r="A441" s="93">
        <v>436</v>
      </c>
      <c r="B441" s="94" t="s">
        <v>72</v>
      </c>
      <c r="C441" s="95" t="s">
        <v>966</v>
      </c>
      <c r="D441" s="95" t="s">
        <v>967</v>
      </c>
      <c r="E441" s="95" t="s">
        <v>967</v>
      </c>
      <c r="F441" s="95" t="s">
        <v>968</v>
      </c>
      <c r="G441" s="95" t="s">
        <v>969</v>
      </c>
      <c r="H441" s="93" t="s">
        <v>77</v>
      </c>
      <c r="I441" s="96">
        <f>IF(H441="ILF",IF($C$1="预估功能点",'模板使用说明&amp;基础参数'!$E$15,7),IF(H441="EIF",IF($C$1="预估功能点",'模板使用说明&amp;基础参数'!$E$16,5),IF(H441="EI",IF($C$1="预估功能点",'模板使用说明&amp;基础参数'!$E$17,'模板使用说明&amp;基础参数'!$E$24),IF(H441="EO",IF($C$1="预估功能点",'模板使用说明&amp;基础参数'!$E$18,'模板使用说明&amp;基础参数'!$E$25),IF(H441="EQ",IF($C$1="预估功能点",'模板使用说明&amp;基础参数'!$E$19,'模板使用说明&amp;基础参数'!$E$26),"")))))</f>
        <v>7</v>
      </c>
      <c r="J441" s="97" t="s">
        <v>38</v>
      </c>
      <c r="K441" s="97" t="s">
        <v>78</v>
      </c>
      <c r="L441" s="98">
        <f>IF(I441="","",IF(J441="高",IF(K441="删除",I441*'模板使用说明&amp;基础参数'!$E$5*'模板使用说明&amp;基础参数'!$E$12,IF(K441="修改",I441*'模板使用说明&amp;基础参数'!$E$5*'模板使用说明&amp;基础参数'!$E$11,I441*'模板使用说明&amp;基础参数'!$E$5*'模板使用说明&amp;基础参数'!$E$10)),IF(J441="中",IF(K441="删除",I441*'模板使用说明&amp;基础参数'!$E$6*'模板使用说明&amp;基础参数'!$E$12,IF(K441="修改",I441*'模板使用说明&amp;基础参数'!$E$6*'模板使用说明&amp;基础参数'!$E$11,I441*'模板使用说明&amp;基础参数'!$E$6*'模板使用说明&amp;基础参数'!$E$10)),IF(K441="删除",I441*'模板使用说明&amp;基础参数'!$E$7*'模板使用说明&amp;基础参数'!$E$12,IF(K441="修改",I441*'模板使用说明&amp;基础参数'!$E$7*'模板使用说明&amp;基础参数'!$E$11,I441*'模板使用说明&amp;基础参数'!$E$7*'模板使用说明&amp;基础参数'!$E$10)))))</f>
        <v>1.86666666666666</v>
      </c>
      <c r="M441" s="95"/>
      <c r="N441" s="99"/>
      <c r="O441" s="100"/>
    </row>
    <row r="442" s="70" customFormat="1" ht="25" customHeight="1" spans="1:15">
      <c r="A442" s="93">
        <v>437</v>
      </c>
      <c r="B442" s="94" t="s">
        <v>72</v>
      </c>
      <c r="C442" s="95" t="s">
        <v>966</v>
      </c>
      <c r="D442" s="95" t="s">
        <v>967</v>
      </c>
      <c r="E442" s="95" t="s">
        <v>967</v>
      </c>
      <c r="F442" s="95" t="s">
        <v>970</v>
      </c>
      <c r="G442" s="95" t="s">
        <v>971</v>
      </c>
      <c r="H442" s="93" t="s">
        <v>81</v>
      </c>
      <c r="I442" s="96">
        <f>IF(H442="ILF",IF($C$1="预估功能点",'模板使用说明&amp;基础参数'!$E$15,7),IF(H442="EIF",IF($C$1="预估功能点",'模板使用说明&amp;基础参数'!$E$16,5),IF(H442="EI",IF($C$1="预估功能点",'模板使用说明&amp;基础参数'!$E$17,'模板使用说明&amp;基础参数'!$E$24),IF(H442="EO",IF($C$1="预估功能点",'模板使用说明&amp;基础参数'!$E$18,'模板使用说明&amp;基础参数'!$E$25),IF(H442="EQ",IF($C$1="预估功能点",'模板使用说明&amp;基础参数'!$E$19,'模板使用说明&amp;基础参数'!$E$26),"")))))</f>
        <v>4</v>
      </c>
      <c r="J442" s="97" t="s">
        <v>38</v>
      </c>
      <c r="K442" s="97" t="s">
        <v>78</v>
      </c>
      <c r="L442" s="98">
        <f>IF(I442="","",IF(J442="高",IF(K442="删除",I442*'模板使用说明&amp;基础参数'!$E$5*'模板使用说明&amp;基础参数'!$E$12,IF(K442="修改",I442*'模板使用说明&amp;基础参数'!$E$5*'模板使用说明&amp;基础参数'!$E$11,I442*'模板使用说明&amp;基础参数'!$E$5*'模板使用说明&amp;基础参数'!$E$10)),IF(J442="中",IF(K442="删除",I442*'模板使用说明&amp;基础参数'!$E$6*'模板使用说明&amp;基础参数'!$E$12,IF(K442="修改",I442*'模板使用说明&amp;基础参数'!$E$6*'模板使用说明&amp;基础参数'!$E$11,I442*'模板使用说明&amp;基础参数'!$E$6*'模板使用说明&amp;基础参数'!$E$10)),IF(K442="删除",I442*'模板使用说明&amp;基础参数'!$E$7*'模板使用说明&amp;基础参数'!$E$12,IF(K442="修改",I442*'模板使用说明&amp;基础参数'!$E$7*'模板使用说明&amp;基础参数'!$E$11,I442*'模板使用说明&amp;基础参数'!$E$7*'模板使用说明&amp;基础参数'!$E$10)))))</f>
        <v>1.06666666666667</v>
      </c>
      <c r="M442" s="95"/>
      <c r="N442" s="99"/>
      <c r="O442" s="100"/>
    </row>
    <row r="443" s="70" customFormat="1" ht="25" customHeight="1" spans="1:15">
      <c r="A443" s="93">
        <v>438</v>
      </c>
      <c r="B443" s="94" t="s">
        <v>72</v>
      </c>
      <c r="C443" s="95" t="s">
        <v>966</v>
      </c>
      <c r="D443" s="95" t="s">
        <v>967</v>
      </c>
      <c r="E443" s="95" t="s">
        <v>967</v>
      </c>
      <c r="F443" s="95" t="s">
        <v>972</v>
      </c>
      <c r="G443" s="95" t="s">
        <v>973</v>
      </c>
      <c r="H443" s="93" t="s">
        <v>84</v>
      </c>
      <c r="I443" s="96">
        <f>IF(H443="ILF",IF($C$1="预估功能点",'模板使用说明&amp;基础参数'!$E$15,7),IF(H443="EIF",IF($C$1="预估功能点",'模板使用说明&amp;基础参数'!$E$16,5),IF(H443="EI",IF($C$1="预估功能点",'模板使用说明&amp;基础参数'!$E$17,'模板使用说明&amp;基础参数'!$E$24),IF(H443="EO",IF($C$1="预估功能点",'模板使用说明&amp;基础参数'!$E$18,'模板使用说明&amp;基础参数'!$E$25),IF(H443="EQ",IF($C$1="预估功能点",'模板使用说明&amp;基础参数'!$E$19,'模板使用说明&amp;基础参数'!$E$26),"")))))</f>
        <v>4</v>
      </c>
      <c r="J443" s="97" t="s">
        <v>38</v>
      </c>
      <c r="K443" s="97" t="s">
        <v>78</v>
      </c>
      <c r="L443" s="98">
        <f>IF(I443="","",IF(J443="高",IF(K443="删除",I443*'模板使用说明&amp;基础参数'!$E$5*'模板使用说明&amp;基础参数'!$E$12,IF(K443="修改",I443*'模板使用说明&amp;基础参数'!$E$5*'模板使用说明&amp;基础参数'!$E$11,I443*'模板使用说明&amp;基础参数'!$E$5*'模板使用说明&amp;基础参数'!$E$10)),IF(J443="中",IF(K443="删除",I443*'模板使用说明&amp;基础参数'!$E$6*'模板使用说明&amp;基础参数'!$E$12,IF(K443="修改",I443*'模板使用说明&amp;基础参数'!$E$6*'模板使用说明&amp;基础参数'!$E$11,I443*'模板使用说明&amp;基础参数'!$E$6*'模板使用说明&amp;基础参数'!$E$10)),IF(K443="删除",I443*'模板使用说明&amp;基础参数'!$E$7*'模板使用说明&amp;基础参数'!$E$12,IF(K443="修改",I443*'模板使用说明&amp;基础参数'!$E$7*'模板使用说明&amp;基础参数'!$E$11,I443*'模板使用说明&amp;基础参数'!$E$7*'模板使用说明&amp;基础参数'!$E$10)))))</f>
        <v>1.06666666666667</v>
      </c>
      <c r="M443" s="95"/>
      <c r="N443" s="99"/>
      <c r="O443" s="100"/>
    </row>
    <row r="444" s="70" customFormat="1" ht="25" customHeight="1" spans="1:15">
      <c r="A444" s="93">
        <v>439</v>
      </c>
      <c r="B444" s="94" t="s">
        <v>72</v>
      </c>
      <c r="C444" s="95" t="s">
        <v>966</v>
      </c>
      <c r="D444" s="95" t="s">
        <v>967</v>
      </c>
      <c r="E444" s="95" t="s">
        <v>967</v>
      </c>
      <c r="F444" s="95" t="s">
        <v>974</v>
      </c>
      <c r="G444" s="95" t="s">
        <v>975</v>
      </c>
      <c r="H444" s="93" t="s">
        <v>84</v>
      </c>
      <c r="I444" s="96">
        <f>IF(H444="ILF",IF($C$1="预估功能点",'模板使用说明&amp;基础参数'!$E$15,7),IF(H444="EIF",IF($C$1="预估功能点",'模板使用说明&amp;基础参数'!$E$16,5),IF(H444="EI",IF($C$1="预估功能点",'模板使用说明&amp;基础参数'!$E$17,'模板使用说明&amp;基础参数'!$E$24),IF(H444="EO",IF($C$1="预估功能点",'模板使用说明&amp;基础参数'!$E$18,'模板使用说明&amp;基础参数'!$E$25),IF(H444="EQ",IF($C$1="预估功能点",'模板使用说明&amp;基础参数'!$E$19,'模板使用说明&amp;基础参数'!$E$26),"")))))</f>
        <v>4</v>
      </c>
      <c r="J444" s="97" t="s">
        <v>38</v>
      </c>
      <c r="K444" s="97" t="s">
        <v>78</v>
      </c>
      <c r="L444" s="98">
        <f>IF(I444="","",IF(J444="高",IF(K444="删除",I444*'模板使用说明&amp;基础参数'!$E$5*'模板使用说明&amp;基础参数'!$E$12,IF(K444="修改",I444*'模板使用说明&amp;基础参数'!$E$5*'模板使用说明&amp;基础参数'!$E$11,I444*'模板使用说明&amp;基础参数'!$E$5*'模板使用说明&amp;基础参数'!$E$10)),IF(J444="中",IF(K444="删除",I444*'模板使用说明&amp;基础参数'!$E$6*'模板使用说明&amp;基础参数'!$E$12,IF(K444="修改",I444*'模板使用说明&amp;基础参数'!$E$6*'模板使用说明&amp;基础参数'!$E$11,I444*'模板使用说明&amp;基础参数'!$E$6*'模板使用说明&amp;基础参数'!$E$10)),IF(K444="删除",I444*'模板使用说明&amp;基础参数'!$E$7*'模板使用说明&amp;基础参数'!$E$12,IF(K444="修改",I444*'模板使用说明&amp;基础参数'!$E$7*'模板使用说明&amp;基础参数'!$E$11,I444*'模板使用说明&amp;基础参数'!$E$7*'模板使用说明&amp;基础参数'!$E$10)))))</f>
        <v>1.06666666666667</v>
      </c>
      <c r="M444" s="95"/>
      <c r="N444" s="99"/>
      <c r="O444" s="100"/>
    </row>
    <row r="445" s="70" customFormat="1" ht="25" customHeight="1" spans="1:15">
      <c r="A445" s="93">
        <v>440</v>
      </c>
      <c r="B445" s="94" t="s">
        <v>72</v>
      </c>
      <c r="C445" s="95" t="s">
        <v>966</v>
      </c>
      <c r="D445" s="95" t="s">
        <v>967</v>
      </c>
      <c r="E445" s="95" t="s">
        <v>967</v>
      </c>
      <c r="F445" s="95" t="s">
        <v>976</v>
      </c>
      <c r="G445" s="95" t="s">
        <v>977</v>
      </c>
      <c r="H445" s="93" t="s">
        <v>84</v>
      </c>
      <c r="I445" s="96">
        <f>IF(H445="ILF",IF($C$1="预估功能点",'模板使用说明&amp;基础参数'!$E$15,7),IF(H445="EIF",IF($C$1="预估功能点",'模板使用说明&amp;基础参数'!$E$16,5),IF(H445="EI",IF($C$1="预估功能点",'模板使用说明&amp;基础参数'!$E$17,'模板使用说明&amp;基础参数'!$E$24),IF(H445="EO",IF($C$1="预估功能点",'模板使用说明&amp;基础参数'!$E$18,'模板使用说明&amp;基础参数'!$E$25),IF(H445="EQ",IF($C$1="预估功能点",'模板使用说明&amp;基础参数'!$E$19,'模板使用说明&amp;基础参数'!$E$26),"")))))</f>
        <v>4</v>
      </c>
      <c r="J445" s="97" t="s">
        <v>38</v>
      </c>
      <c r="K445" s="97" t="s">
        <v>78</v>
      </c>
      <c r="L445" s="98">
        <f>IF(I445="","",IF(J445="高",IF(K445="删除",I445*'模板使用说明&amp;基础参数'!$E$5*'模板使用说明&amp;基础参数'!$E$12,IF(K445="修改",I445*'模板使用说明&amp;基础参数'!$E$5*'模板使用说明&amp;基础参数'!$E$11,I445*'模板使用说明&amp;基础参数'!$E$5*'模板使用说明&amp;基础参数'!$E$10)),IF(J445="中",IF(K445="删除",I445*'模板使用说明&amp;基础参数'!$E$6*'模板使用说明&amp;基础参数'!$E$12,IF(K445="修改",I445*'模板使用说明&amp;基础参数'!$E$6*'模板使用说明&amp;基础参数'!$E$11,I445*'模板使用说明&amp;基础参数'!$E$6*'模板使用说明&amp;基础参数'!$E$10)),IF(K445="删除",I445*'模板使用说明&amp;基础参数'!$E$7*'模板使用说明&amp;基础参数'!$E$12,IF(K445="修改",I445*'模板使用说明&amp;基础参数'!$E$7*'模板使用说明&amp;基础参数'!$E$11,I445*'模板使用说明&amp;基础参数'!$E$7*'模板使用说明&amp;基础参数'!$E$10)))))</f>
        <v>1.06666666666667</v>
      </c>
      <c r="M445" s="95"/>
      <c r="N445" s="99"/>
      <c r="O445" s="100"/>
    </row>
    <row r="446" s="70" customFormat="1" ht="25" customHeight="1" spans="1:15">
      <c r="A446" s="93">
        <v>441</v>
      </c>
      <c r="B446" s="94" t="s">
        <v>72</v>
      </c>
      <c r="C446" s="95" t="s">
        <v>924</v>
      </c>
      <c r="D446" s="95" t="s">
        <v>925</v>
      </c>
      <c r="E446" s="95" t="s">
        <v>925</v>
      </c>
      <c r="F446" s="95" t="s">
        <v>978</v>
      </c>
      <c r="G446" s="95" t="s">
        <v>979</v>
      </c>
      <c r="H446" s="93" t="s">
        <v>77</v>
      </c>
      <c r="I446" s="96">
        <f>IF(H446="ILF",IF($C$1="预估功能点",'模板使用说明&amp;基础参数'!$E$15,7),IF(H446="EIF",IF($C$1="预估功能点",'模板使用说明&amp;基础参数'!$E$16,5),IF(H446="EI",IF($C$1="预估功能点",'模板使用说明&amp;基础参数'!$E$17,'模板使用说明&amp;基础参数'!$E$24),IF(H446="EO",IF($C$1="预估功能点",'模板使用说明&amp;基础参数'!$E$18,'模板使用说明&amp;基础参数'!$E$25),IF(H446="EQ",IF($C$1="预估功能点",'模板使用说明&amp;基础参数'!$E$19,'模板使用说明&amp;基础参数'!$E$26),"")))))</f>
        <v>7</v>
      </c>
      <c r="J446" s="97" t="s">
        <v>38</v>
      </c>
      <c r="K446" s="97" t="s">
        <v>78</v>
      </c>
      <c r="L446" s="98">
        <f>IF(I446="","",IF(J446="高",IF(K446="删除",I446*'模板使用说明&amp;基础参数'!$E$5*'模板使用说明&amp;基础参数'!$E$12,IF(K446="修改",I446*'模板使用说明&amp;基础参数'!$E$5*'模板使用说明&amp;基础参数'!$E$11,I446*'模板使用说明&amp;基础参数'!$E$5*'模板使用说明&amp;基础参数'!$E$10)),IF(J446="中",IF(K446="删除",I446*'模板使用说明&amp;基础参数'!$E$6*'模板使用说明&amp;基础参数'!$E$12,IF(K446="修改",I446*'模板使用说明&amp;基础参数'!$E$6*'模板使用说明&amp;基础参数'!$E$11,I446*'模板使用说明&amp;基础参数'!$E$6*'模板使用说明&amp;基础参数'!$E$10)),IF(K446="删除",I446*'模板使用说明&amp;基础参数'!$E$7*'模板使用说明&amp;基础参数'!$E$12,IF(K446="修改",I446*'模板使用说明&amp;基础参数'!$E$7*'模板使用说明&amp;基础参数'!$E$11,I446*'模板使用说明&amp;基础参数'!$E$7*'模板使用说明&amp;基础参数'!$E$10)))))</f>
        <v>1.86666666666666</v>
      </c>
      <c r="M446" s="95"/>
      <c r="N446" s="99"/>
      <c r="O446" s="100"/>
    </row>
    <row r="447" s="70" customFormat="1" ht="25" customHeight="1" spans="1:15">
      <c r="A447" s="93">
        <v>442</v>
      </c>
      <c r="B447" s="94" t="s">
        <v>72</v>
      </c>
      <c r="C447" s="95" t="s">
        <v>924</v>
      </c>
      <c r="D447" s="95" t="s">
        <v>925</v>
      </c>
      <c r="E447" s="95" t="s">
        <v>925</v>
      </c>
      <c r="F447" s="95" t="s">
        <v>980</v>
      </c>
      <c r="G447" s="95" t="s">
        <v>981</v>
      </c>
      <c r="H447" s="93" t="s">
        <v>81</v>
      </c>
      <c r="I447" s="96">
        <f>IF(H447="ILF",IF($C$1="预估功能点",'模板使用说明&amp;基础参数'!$E$15,7),IF(H447="EIF",IF($C$1="预估功能点",'模板使用说明&amp;基础参数'!$E$16,5),IF(H447="EI",IF($C$1="预估功能点",'模板使用说明&amp;基础参数'!$E$17,'模板使用说明&amp;基础参数'!$E$24),IF(H447="EO",IF($C$1="预估功能点",'模板使用说明&amp;基础参数'!$E$18,'模板使用说明&amp;基础参数'!$E$25),IF(H447="EQ",IF($C$1="预估功能点",'模板使用说明&amp;基础参数'!$E$19,'模板使用说明&amp;基础参数'!$E$26),"")))))</f>
        <v>4</v>
      </c>
      <c r="J447" s="97" t="s">
        <v>38</v>
      </c>
      <c r="K447" s="97" t="s">
        <v>78</v>
      </c>
      <c r="L447" s="98">
        <f>IF(I447="","",IF(J447="高",IF(K447="删除",I447*'模板使用说明&amp;基础参数'!$E$5*'模板使用说明&amp;基础参数'!$E$12,IF(K447="修改",I447*'模板使用说明&amp;基础参数'!$E$5*'模板使用说明&amp;基础参数'!$E$11,I447*'模板使用说明&amp;基础参数'!$E$5*'模板使用说明&amp;基础参数'!$E$10)),IF(J447="中",IF(K447="删除",I447*'模板使用说明&amp;基础参数'!$E$6*'模板使用说明&amp;基础参数'!$E$12,IF(K447="修改",I447*'模板使用说明&amp;基础参数'!$E$6*'模板使用说明&amp;基础参数'!$E$11,I447*'模板使用说明&amp;基础参数'!$E$6*'模板使用说明&amp;基础参数'!$E$10)),IF(K447="删除",I447*'模板使用说明&amp;基础参数'!$E$7*'模板使用说明&amp;基础参数'!$E$12,IF(K447="修改",I447*'模板使用说明&amp;基础参数'!$E$7*'模板使用说明&amp;基础参数'!$E$11,I447*'模板使用说明&amp;基础参数'!$E$7*'模板使用说明&amp;基础参数'!$E$10)))))</f>
        <v>1.06666666666667</v>
      </c>
      <c r="M447" s="95"/>
      <c r="N447" s="99"/>
      <c r="O447" s="100"/>
    </row>
    <row r="448" s="70" customFormat="1" ht="25" customHeight="1" spans="1:15">
      <c r="A448" s="93">
        <v>443</v>
      </c>
      <c r="B448" s="94" t="s">
        <v>72</v>
      </c>
      <c r="C448" s="95" t="s">
        <v>924</v>
      </c>
      <c r="D448" s="95" t="s">
        <v>925</v>
      </c>
      <c r="E448" s="95" t="s">
        <v>925</v>
      </c>
      <c r="F448" s="95" t="s">
        <v>982</v>
      </c>
      <c r="G448" s="95" t="s">
        <v>983</v>
      </c>
      <c r="H448" s="93" t="s">
        <v>84</v>
      </c>
      <c r="I448" s="96">
        <f>IF(H448="ILF",IF($C$1="预估功能点",'模板使用说明&amp;基础参数'!$E$15,7),IF(H448="EIF",IF($C$1="预估功能点",'模板使用说明&amp;基础参数'!$E$16,5),IF(H448="EI",IF($C$1="预估功能点",'模板使用说明&amp;基础参数'!$E$17,'模板使用说明&amp;基础参数'!$E$24),IF(H448="EO",IF($C$1="预估功能点",'模板使用说明&amp;基础参数'!$E$18,'模板使用说明&amp;基础参数'!$E$25),IF(H448="EQ",IF($C$1="预估功能点",'模板使用说明&amp;基础参数'!$E$19,'模板使用说明&amp;基础参数'!$E$26),"")))))</f>
        <v>4</v>
      </c>
      <c r="J448" s="97" t="s">
        <v>38</v>
      </c>
      <c r="K448" s="97" t="s">
        <v>78</v>
      </c>
      <c r="L448" s="98">
        <f>IF(I448="","",IF(J448="高",IF(K448="删除",I448*'模板使用说明&amp;基础参数'!$E$5*'模板使用说明&amp;基础参数'!$E$12,IF(K448="修改",I448*'模板使用说明&amp;基础参数'!$E$5*'模板使用说明&amp;基础参数'!$E$11,I448*'模板使用说明&amp;基础参数'!$E$5*'模板使用说明&amp;基础参数'!$E$10)),IF(J448="中",IF(K448="删除",I448*'模板使用说明&amp;基础参数'!$E$6*'模板使用说明&amp;基础参数'!$E$12,IF(K448="修改",I448*'模板使用说明&amp;基础参数'!$E$6*'模板使用说明&amp;基础参数'!$E$11,I448*'模板使用说明&amp;基础参数'!$E$6*'模板使用说明&amp;基础参数'!$E$10)),IF(K448="删除",I448*'模板使用说明&amp;基础参数'!$E$7*'模板使用说明&amp;基础参数'!$E$12,IF(K448="修改",I448*'模板使用说明&amp;基础参数'!$E$7*'模板使用说明&amp;基础参数'!$E$11,I448*'模板使用说明&amp;基础参数'!$E$7*'模板使用说明&amp;基础参数'!$E$10)))))</f>
        <v>1.06666666666667</v>
      </c>
      <c r="M448" s="95"/>
      <c r="N448" s="99"/>
      <c r="O448" s="100"/>
    </row>
    <row r="449" s="70" customFormat="1" ht="25" customHeight="1" spans="1:15">
      <c r="A449" s="93">
        <v>444</v>
      </c>
      <c r="B449" s="94" t="s">
        <v>72</v>
      </c>
      <c r="C449" s="95" t="s">
        <v>924</v>
      </c>
      <c r="D449" s="95" t="s">
        <v>925</v>
      </c>
      <c r="E449" s="95" t="s">
        <v>925</v>
      </c>
      <c r="F449" s="95" t="s">
        <v>984</v>
      </c>
      <c r="G449" s="95" t="s">
        <v>985</v>
      </c>
      <c r="H449" s="93" t="s">
        <v>84</v>
      </c>
      <c r="I449" s="96">
        <f>IF(H449="ILF",IF($C$1="预估功能点",'模板使用说明&amp;基础参数'!$E$15,7),IF(H449="EIF",IF($C$1="预估功能点",'模板使用说明&amp;基础参数'!$E$16,5),IF(H449="EI",IF($C$1="预估功能点",'模板使用说明&amp;基础参数'!$E$17,'模板使用说明&amp;基础参数'!$E$24),IF(H449="EO",IF($C$1="预估功能点",'模板使用说明&amp;基础参数'!$E$18,'模板使用说明&amp;基础参数'!$E$25),IF(H449="EQ",IF($C$1="预估功能点",'模板使用说明&amp;基础参数'!$E$19,'模板使用说明&amp;基础参数'!$E$26),"")))))</f>
        <v>4</v>
      </c>
      <c r="J449" s="97" t="s">
        <v>38</v>
      </c>
      <c r="K449" s="97" t="s">
        <v>78</v>
      </c>
      <c r="L449" s="98">
        <f>IF(I449="","",IF(J449="高",IF(K449="删除",I449*'模板使用说明&amp;基础参数'!$E$5*'模板使用说明&amp;基础参数'!$E$12,IF(K449="修改",I449*'模板使用说明&amp;基础参数'!$E$5*'模板使用说明&amp;基础参数'!$E$11,I449*'模板使用说明&amp;基础参数'!$E$5*'模板使用说明&amp;基础参数'!$E$10)),IF(J449="中",IF(K449="删除",I449*'模板使用说明&amp;基础参数'!$E$6*'模板使用说明&amp;基础参数'!$E$12,IF(K449="修改",I449*'模板使用说明&amp;基础参数'!$E$6*'模板使用说明&amp;基础参数'!$E$11,I449*'模板使用说明&amp;基础参数'!$E$6*'模板使用说明&amp;基础参数'!$E$10)),IF(K449="删除",I449*'模板使用说明&amp;基础参数'!$E$7*'模板使用说明&amp;基础参数'!$E$12,IF(K449="修改",I449*'模板使用说明&amp;基础参数'!$E$7*'模板使用说明&amp;基础参数'!$E$11,I449*'模板使用说明&amp;基础参数'!$E$7*'模板使用说明&amp;基础参数'!$E$10)))))</f>
        <v>1.06666666666667</v>
      </c>
      <c r="M449" s="95"/>
      <c r="N449" s="99"/>
      <c r="O449" s="100"/>
    </row>
    <row r="450" s="70" customFormat="1" ht="25" customHeight="1" spans="1:15">
      <c r="A450" s="93">
        <v>445</v>
      </c>
      <c r="B450" s="94" t="s">
        <v>72</v>
      </c>
      <c r="C450" s="95" t="s">
        <v>924</v>
      </c>
      <c r="D450" s="95" t="s">
        <v>925</v>
      </c>
      <c r="E450" s="95" t="s">
        <v>925</v>
      </c>
      <c r="F450" s="95" t="s">
        <v>986</v>
      </c>
      <c r="G450" s="95" t="s">
        <v>987</v>
      </c>
      <c r="H450" s="93" t="s">
        <v>84</v>
      </c>
      <c r="I450" s="96">
        <f>IF(H450="ILF",IF($C$1="预估功能点",'模板使用说明&amp;基础参数'!$E$15,7),IF(H450="EIF",IF($C$1="预估功能点",'模板使用说明&amp;基础参数'!$E$16,5),IF(H450="EI",IF($C$1="预估功能点",'模板使用说明&amp;基础参数'!$E$17,'模板使用说明&amp;基础参数'!$E$24),IF(H450="EO",IF($C$1="预估功能点",'模板使用说明&amp;基础参数'!$E$18,'模板使用说明&amp;基础参数'!$E$25),IF(H450="EQ",IF($C$1="预估功能点",'模板使用说明&amp;基础参数'!$E$19,'模板使用说明&amp;基础参数'!$E$26),"")))))</f>
        <v>4</v>
      </c>
      <c r="J450" s="97" t="s">
        <v>38</v>
      </c>
      <c r="K450" s="97" t="s">
        <v>78</v>
      </c>
      <c r="L450" s="98">
        <f>IF(I450="","",IF(J450="高",IF(K450="删除",I450*'模板使用说明&amp;基础参数'!$E$5*'模板使用说明&amp;基础参数'!$E$12,IF(K450="修改",I450*'模板使用说明&amp;基础参数'!$E$5*'模板使用说明&amp;基础参数'!$E$11,I450*'模板使用说明&amp;基础参数'!$E$5*'模板使用说明&amp;基础参数'!$E$10)),IF(J450="中",IF(K450="删除",I450*'模板使用说明&amp;基础参数'!$E$6*'模板使用说明&amp;基础参数'!$E$12,IF(K450="修改",I450*'模板使用说明&amp;基础参数'!$E$6*'模板使用说明&amp;基础参数'!$E$11,I450*'模板使用说明&amp;基础参数'!$E$6*'模板使用说明&amp;基础参数'!$E$10)),IF(K450="删除",I450*'模板使用说明&amp;基础参数'!$E$7*'模板使用说明&amp;基础参数'!$E$12,IF(K450="修改",I450*'模板使用说明&amp;基础参数'!$E$7*'模板使用说明&amp;基础参数'!$E$11,I450*'模板使用说明&amp;基础参数'!$E$7*'模板使用说明&amp;基础参数'!$E$10)))))</f>
        <v>1.06666666666667</v>
      </c>
      <c r="M450" s="95"/>
      <c r="N450" s="99"/>
      <c r="O450" s="100"/>
    </row>
    <row r="451" s="70" customFormat="1" ht="25" customHeight="1" spans="1:15">
      <c r="A451" s="93">
        <v>446</v>
      </c>
      <c r="B451" s="94" t="s">
        <v>72</v>
      </c>
      <c r="C451" s="95" t="s">
        <v>966</v>
      </c>
      <c r="D451" s="95" t="s">
        <v>967</v>
      </c>
      <c r="E451" s="95" t="s">
        <v>967</v>
      </c>
      <c r="F451" s="95" t="s">
        <v>988</v>
      </c>
      <c r="G451" s="95" t="s">
        <v>989</v>
      </c>
      <c r="H451" s="93" t="s">
        <v>77</v>
      </c>
      <c r="I451" s="96">
        <f>IF(H451="ILF",IF($C$1="预估功能点",'模板使用说明&amp;基础参数'!$E$15,7),IF(H451="EIF",IF($C$1="预估功能点",'模板使用说明&amp;基础参数'!$E$16,5),IF(H451="EI",IF($C$1="预估功能点",'模板使用说明&amp;基础参数'!$E$17,'模板使用说明&amp;基础参数'!$E$24),IF(H451="EO",IF($C$1="预估功能点",'模板使用说明&amp;基础参数'!$E$18,'模板使用说明&amp;基础参数'!$E$25),IF(H451="EQ",IF($C$1="预估功能点",'模板使用说明&amp;基础参数'!$E$19,'模板使用说明&amp;基础参数'!$E$26),"")))))</f>
        <v>7</v>
      </c>
      <c r="J451" s="97" t="s">
        <v>38</v>
      </c>
      <c r="K451" s="97" t="s">
        <v>78</v>
      </c>
      <c r="L451" s="98">
        <f>IF(I451="","",IF(J451="高",IF(K451="删除",I451*'模板使用说明&amp;基础参数'!$E$5*'模板使用说明&amp;基础参数'!$E$12,IF(K451="修改",I451*'模板使用说明&amp;基础参数'!$E$5*'模板使用说明&amp;基础参数'!$E$11,I451*'模板使用说明&amp;基础参数'!$E$5*'模板使用说明&amp;基础参数'!$E$10)),IF(J451="中",IF(K451="删除",I451*'模板使用说明&amp;基础参数'!$E$6*'模板使用说明&amp;基础参数'!$E$12,IF(K451="修改",I451*'模板使用说明&amp;基础参数'!$E$6*'模板使用说明&amp;基础参数'!$E$11,I451*'模板使用说明&amp;基础参数'!$E$6*'模板使用说明&amp;基础参数'!$E$10)),IF(K451="删除",I451*'模板使用说明&amp;基础参数'!$E$7*'模板使用说明&amp;基础参数'!$E$12,IF(K451="修改",I451*'模板使用说明&amp;基础参数'!$E$7*'模板使用说明&amp;基础参数'!$E$11,I451*'模板使用说明&amp;基础参数'!$E$7*'模板使用说明&amp;基础参数'!$E$10)))))</f>
        <v>1.86666666666666</v>
      </c>
      <c r="M451" s="95"/>
      <c r="N451" s="99"/>
      <c r="O451" s="100"/>
    </row>
    <row r="452" s="70" customFormat="1" ht="25" customHeight="1" spans="1:15">
      <c r="A452" s="93">
        <v>447</v>
      </c>
      <c r="B452" s="94" t="s">
        <v>72</v>
      </c>
      <c r="C452" s="95" t="s">
        <v>966</v>
      </c>
      <c r="D452" s="95" t="s">
        <v>967</v>
      </c>
      <c r="E452" s="95" t="s">
        <v>967</v>
      </c>
      <c r="F452" s="95" t="s">
        <v>990</v>
      </c>
      <c r="G452" s="95" t="s">
        <v>991</v>
      </c>
      <c r="H452" s="93" t="s">
        <v>81</v>
      </c>
      <c r="I452" s="96">
        <f>IF(H452="ILF",IF($C$1="预估功能点",'模板使用说明&amp;基础参数'!$E$15,7),IF(H452="EIF",IF($C$1="预估功能点",'模板使用说明&amp;基础参数'!$E$16,5),IF(H452="EI",IF($C$1="预估功能点",'模板使用说明&amp;基础参数'!$E$17,'模板使用说明&amp;基础参数'!$E$24),IF(H452="EO",IF($C$1="预估功能点",'模板使用说明&amp;基础参数'!$E$18,'模板使用说明&amp;基础参数'!$E$25),IF(H452="EQ",IF($C$1="预估功能点",'模板使用说明&amp;基础参数'!$E$19,'模板使用说明&amp;基础参数'!$E$26),"")))))</f>
        <v>4</v>
      </c>
      <c r="J452" s="97" t="s">
        <v>38</v>
      </c>
      <c r="K452" s="97" t="s">
        <v>78</v>
      </c>
      <c r="L452" s="98">
        <f>IF(I452="","",IF(J452="高",IF(K452="删除",I452*'模板使用说明&amp;基础参数'!$E$5*'模板使用说明&amp;基础参数'!$E$12,IF(K452="修改",I452*'模板使用说明&amp;基础参数'!$E$5*'模板使用说明&amp;基础参数'!$E$11,I452*'模板使用说明&amp;基础参数'!$E$5*'模板使用说明&amp;基础参数'!$E$10)),IF(J452="中",IF(K452="删除",I452*'模板使用说明&amp;基础参数'!$E$6*'模板使用说明&amp;基础参数'!$E$12,IF(K452="修改",I452*'模板使用说明&amp;基础参数'!$E$6*'模板使用说明&amp;基础参数'!$E$11,I452*'模板使用说明&amp;基础参数'!$E$6*'模板使用说明&amp;基础参数'!$E$10)),IF(K452="删除",I452*'模板使用说明&amp;基础参数'!$E$7*'模板使用说明&amp;基础参数'!$E$12,IF(K452="修改",I452*'模板使用说明&amp;基础参数'!$E$7*'模板使用说明&amp;基础参数'!$E$11,I452*'模板使用说明&amp;基础参数'!$E$7*'模板使用说明&amp;基础参数'!$E$10)))))</f>
        <v>1.06666666666667</v>
      </c>
      <c r="M452" s="95"/>
      <c r="N452" s="99"/>
      <c r="O452" s="100"/>
    </row>
    <row r="453" s="70" customFormat="1" ht="25" customHeight="1" spans="1:15">
      <c r="A453" s="93">
        <v>448</v>
      </c>
      <c r="B453" s="94" t="s">
        <v>72</v>
      </c>
      <c r="C453" s="95" t="s">
        <v>966</v>
      </c>
      <c r="D453" s="95" t="s">
        <v>967</v>
      </c>
      <c r="E453" s="95" t="s">
        <v>967</v>
      </c>
      <c r="F453" s="95" t="s">
        <v>992</v>
      </c>
      <c r="G453" s="95" t="s">
        <v>993</v>
      </c>
      <c r="H453" s="93" t="s">
        <v>84</v>
      </c>
      <c r="I453" s="96">
        <f>IF(H453="ILF",IF($C$1="预估功能点",'模板使用说明&amp;基础参数'!$E$15,7),IF(H453="EIF",IF($C$1="预估功能点",'模板使用说明&amp;基础参数'!$E$16,5),IF(H453="EI",IF($C$1="预估功能点",'模板使用说明&amp;基础参数'!$E$17,'模板使用说明&amp;基础参数'!$E$24),IF(H453="EO",IF($C$1="预估功能点",'模板使用说明&amp;基础参数'!$E$18,'模板使用说明&amp;基础参数'!$E$25),IF(H453="EQ",IF($C$1="预估功能点",'模板使用说明&amp;基础参数'!$E$19,'模板使用说明&amp;基础参数'!$E$26),"")))))</f>
        <v>4</v>
      </c>
      <c r="J453" s="97" t="s">
        <v>38</v>
      </c>
      <c r="K453" s="97" t="s">
        <v>78</v>
      </c>
      <c r="L453" s="98">
        <f>IF(I453="","",IF(J453="高",IF(K453="删除",I453*'模板使用说明&amp;基础参数'!$E$5*'模板使用说明&amp;基础参数'!$E$12,IF(K453="修改",I453*'模板使用说明&amp;基础参数'!$E$5*'模板使用说明&amp;基础参数'!$E$11,I453*'模板使用说明&amp;基础参数'!$E$5*'模板使用说明&amp;基础参数'!$E$10)),IF(J453="中",IF(K453="删除",I453*'模板使用说明&amp;基础参数'!$E$6*'模板使用说明&amp;基础参数'!$E$12,IF(K453="修改",I453*'模板使用说明&amp;基础参数'!$E$6*'模板使用说明&amp;基础参数'!$E$11,I453*'模板使用说明&amp;基础参数'!$E$6*'模板使用说明&amp;基础参数'!$E$10)),IF(K453="删除",I453*'模板使用说明&amp;基础参数'!$E$7*'模板使用说明&amp;基础参数'!$E$12,IF(K453="修改",I453*'模板使用说明&amp;基础参数'!$E$7*'模板使用说明&amp;基础参数'!$E$11,I453*'模板使用说明&amp;基础参数'!$E$7*'模板使用说明&amp;基础参数'!$E$10)))))</f>
        <v>1.06666666666667</v>
      </c>
      <c r="M453" s="95"/>
      <c r="N453" s="99"/>
      <c r="O453" s="100"/>
    </row>
    <row r="454" s="70" customFormat="1" ht="25" customHeight="1" spans="1:15">
      <c r="A454" s="93">
        <v>449</v>
      </c>
      <c r="B454" s="94" t="s">
        <v>72</v>
      </c>
      <c r="C454" s="95" t="s">
        <v>966</v>
      </c>
      <c r="D454" s="95" t="s">
        <v>967</v>
      </c>
      <c r="E454" s="95" t="s">
        <v>967</v>
      </c>
      <c r="F454" s="95" t="s">
        <v>994</v>
      </c>
      <c r="G454" s="95" t="s">
        <v>995</v>
      </c>
      <c r="H454" s="93" t="s">
        <v>84</v>
      </c>
      <c r="I454" s="96">
        <f>IF(H454="ILF",IF($C$1="预估功能点",'模板使用说明&amp;基础参数'!$E$15,7),IF(H454="EIF",IF($C$1="预估功能点",'模板使用说明&amp;基础参数'!$E$16,5),IF(H454="EI",IF($C$1="预估功能点",'模板使用说明&amp;基础参数'!$E$17,'模板使用说明&amp;基础参数'!$E$24),IF(H454="EO",IF($C$1="预估功能点",'模板使用说明&amp;基础参数'!$E$18,'模板使用说明&amp;基础参数'!$E$25),IF(H454="EQ",IF($C$1="预估功能点",'模板使用说明&amp;基础参数'!$E$19,'模板使用说明&amp;基础参数'!$E$26),"")))))</f>
        <v>4</v>
      </c>
      <c r="J454" s="97" t="s">
        <v>38</v>
      </c>
      <c r="K454" s="97" t="s">
        <v>78</v>
      </c>
      <c r="L454" s="98">
        <f>IF(I454="","",IF(J454="高",IF(K454="删除",I454*'模板使用说明&amp;基础参数'!$E$5*'模板使用说明&amp;基础参数'!$E$12,IF(K454="修改",I454*'模板使用说明&amp;基础参数'!$E$5*'模板使用说明&amp;基础参数'!$E$11,I454*'模板使用说明&amp;基础参数'!$E$5*'模板使用说明&amp;基础参数'!$E$10)),IF(J454="中",IF(K454="删除",I454*'模板使用说明&amp;基础参数'!$E$6*'模板使用说明&amp;基础参数'!$E$12,IF(K454="修改",I454*'模板使用说明&amp;基础参数'!$E$6*'模板使用说明&amp;基础参数'!$E$11,I454*'模板使用说明&amp;基础参数'!$E$6*'模板使用说明&amp;基础参数'!$E$10)),IF(K454="删除",I454*'模板使用说明&amp;基础参数'!$E$7*'模板使用说明&amp;基础参数'!$E$12,IF(K454="修改",I454*'模板使用说明&amp;基础参数'!$E$7*'模板使用说明&amp;基础参数'!$E$11,I454*'模板使用说明&amp;基础参数'!$E$7*'模板使用说明&amp;基础参数'!$E$10)))))</f>
        <v>1.06666666666667</v>
      </c>
      <c r="M454" s="95"/>
      <c r="N454" s="99"/>
      <c r="O454" s="100"/>
    </row>
    <row r="455" s="70" customFormat="1" ht="25" customHeight="1" spans="1:15">
      <c r="A455" s="93">
        <v>450</v>
      </c>
      <c r="B455" s="94" t="s">
        <v>72</v>
      </c>
      <c r="C455" s="95" t="s">
        <v>966</v>
      </c>
      <c r="D455" s="95" t="s">
        <v>967</v>
      </c>
      <c r="E455" s="95" t="s">
        <v>967</v>
      </c>
      <c r="F455" s="95" t="s">
        <v>996</v>
      </c>
      <c r="G455" s="95" t="s">
        <v>997</v>
      </c>
      <c r="H455" s="93" t="s">
        <v>84</v>
      </c>
      <c r="I455" s="96">
        <f>IF(H455="ILF",IF($C$1="预估功能点",'模板使用说明&amp;基础参数'!$E$15,7),IF(H455="EIF",IF($C$1="预估功能点",'模板使用说明&amp;基础参数'!$E$16,5),IF(H455="EI",IF($C$1="预估功能点",'模板使用说明&amp;基础参数'!$E$17,'模板使用说明&amp;基础参数'!$E$24),IF(H455="EO",IF($C$1="预估功能点",'模板使用说明&amp;基础参数'!$E$18,'模板使用说明&amp;基础参数'!$E$25),IF(H455="EQ",IF($C$1="预估功能点",'模板使用说明&amp;基础参数'!$E$19,'模板使用说明&amp;基础参数'!$E$26),"")))))</f>
        <v>4</v>
      </c>
      <c r="J455" s="97" t="s">
        <v>38</v>
      </c>
      <c r="K455" s="97" t="s">
        <v>78</v>
      </c>
      <c r="L455" s="98">
        <f>IF(I455="","",IF(J455="高",IF(K455="删除",I455*'模板使用说明&amp;基础参数'!$E$5*'模板使用说明&amp;基础参数'!$E$12,IF(K455="修改",I455*'模板使用说明&amp;基础参数'!$E$5*'模板使用说明&amp;基础参数'!$E$11,I455*'模板使用说明&amp;基础参数'!$E$5*'模板使用说明&amp;基础参数'!$E$10)),IF(J455="中",IF(K455="删除",I455*'模板使用说明&amp;基础参数'!$E$6*'模板使用说明&amp;基础参数'!$E$12,IF(K455="修改",I455*'模板使用说明&amp;基础参数'!$E$6*'模板使用说明&amp;基础参数'!$E$11,I455*'模板使用说明&amp;基础参数'!$E$6*'模板使用说明&amp;基础参数'!$E$10)),IF(K455="删除",I455*'模板使用说明&amp;基础参数'!$E$7*'模板使用说明&amp;基础参数'!$E$12,IF(K455="修改",I455*'模板使用说明&amp;基础参数'!$E$7*'模板使用说明&amp;基础参数'!$E$11,I455*'模板使用说明&amp;基础参数'!$E$7*'模板使用说明&amp;基础参数'!$E$10)))))</f>
        <v>1.06666666666667</v>
      </c>
      <c r="M455" s="95"/>
      <c r="N455" s="99"/>
      <c r="O455" s="100"/>
    </row>
    <row r="456" s="70" customFormat="1" ht="25" customHeight="1" spans="1:15">
      <c r="A456" s="93">
        <v>451</v>
      </c>
      <c r="B456" s="94" t="s">
        <v>72</v>
      </c>
      <c r="C456" s="95" t="s">
        <v>998</v>
      </c>
      <c r="D456" s="95" t="s">
        <v>999</v>
      </c>
      <c r="E456" s="95" t="s">
        <v>999</v>
      </c>
      <c r="F456" s="95" t="s">
        <v>1000</v>
      </c>
      <c r="G456" s="95" t="s">
        <v>1001</v>
      </c>
      <c r="H456" s="93" t="s">
        <v>77</v>
      </c>
      <c r="I456" s="96">
        <f>IF(H456="ILF",IF($C$1="预估功能点",'模板使用说明&amp;基础参数'!$E$15,7),IF(H456="EIF",IF($C$1="预估功能点",'模板使用说明&amp;基础参数'!$E$16,5),IF(H456="EI",IF($C$1="预估功能点",'模板使用说明&amp;基础参数'!$E$17,'模板使用说明&amp;基础参数'!$E$24),IF(H456="EO",IF($C$1="预估功能点",'模板使用说明&amp;基础参数'!$E$18,'模板使用说明&amp;基础参数'!$E$25),IF(H456="EQ",IF($C$1="预估功能点",'模板使用说明&amp;基础参数'!$E$19,'模板使用说明&amp;基础参数'!$E$26),"")))))</f>
        <v>7</v>
      </c>
      <c r="J456" s="97" t="s">
        <v>38</v>
      </c>
      <c r="K456" s="97" t="s">
        <v>78</v>
      </c>
      <c r="L456" s="98">
        <f>IF(I456="","",IF(J456="高",IF(K456="删除",I456*'模板使用说明&amp;基础参数'!$E$5*'模板使用说明&amp;基础参数'!$E$12,IF(K456="修改",I456*'模板使用说明&amp;基础参数'!$E$5*'模板使用说明&amp;基础参数'!$E$11,I456*'模板使用说明&amp;基础参数'!$E$5*'模板使用说明&amp;基础参数'!$E$10)),IF(J456="中",IF(K456="删除",I456*'模板使用说明&amp;基础参数'!$E$6*'模板使用说明&amp;基础参数'!$E$12,IF(K456="修改",I456*'模板使用说明&amp;基础参数'!$E$6*'模板使用说明&amp;基础参数'!$E$11,I456*'模板使用说明&amp;基础参数'!$E$6*'模板使用说明&amp;基础参数'!$E$10)),IF(K456="删除",I456*'模板使用说明&amp;基础参数'!$E$7*'模板使用说明&amp;基础参数'!$E$12,IF(K456="修改",I456*'模板使用说明&amp;基础参数'!$E$7*'模板使用说明&amp;基础参数'!$E$11,I456*'模板使用说明&amp;基础参数'!$E$7*'模板使用说明&amp;基础参数'!$E$10)))))</f>
        <v>1.86666666666666</v>
      </c>
      <c r="M456" s="95"/>
      <c r="N456" s="99"/>
      <c r="O456" s="100"/>
    </row>
    <row r="457" s="70" customFormat="1" ht="25" customHeight="1" spans="1:15">
      <c r="A457" s="93">
        <v>452</v>
      </c>
      <c r="B457" s="94" t="s">
        <v>72</v>
      </c>
      <c r="C457" s="95" t="s">
        <v>998</v>
      </c>
      <c r="D457" s="95" t="s">
        <v>999</v>
      </c>
      <c r="E457" s="95" t="s">
        <v>999</v>
      </c>
      <c r="F457" s="95" t="s">
        <v>1002</v>
      </c>
      <c r="G457" s="95" t="s">
        <v>1003</v>
      </c>
      <c r="H457" s="93" t="s">
        <v>81</v>
      </c>
      <c r="I457" s="96">
        <f>IF(H457="ILF",IF($C$1="预估功能点",'模板使用说明&amp;基础参数'!$E$15,7),IF(H457="EIF",IF($C$1="预估功能点",'模板使用说明&amp;基础参数'!$E$16,5),IF(H457="EI",IF($C$1="预估功能点",'模板使用说明&amp;基础参数'!$E$17,'模板使用说明&amp;基础参数'!$E$24),IF(H457="EO",IF($C$1="预估功能点",'模板使用说明&amp;基础参数'!$E$18,'模板使用说明&amp;基础参数'!$E$25),IF(H457="EQ",IF($C$1="预估功能点",'模板使用说明&amp;基础参数'!$E$19,'模板使用说明&amp;基础参数'!$E$26),"")))))</f>
        <v>4</v>
      </c>
      <c r="J457" s="97" t="s">
        <v>38</v>
      </c>
      <c r="K457" s="97" t="s">
        <v>78</v>
      </c>
      <c r="L457" s="98">
        <f>IF(I457="","",IF(J457="高",IF(K457="删除",I457*'模板使用说明&amp;基础参数'!$E$5*'模板使用说明&amp;基础参数'!$E$12,IF(K457="修改",I457*'模板使用说明&amp;基础参数'!$E$5*'模板使用说明&amp;基础参数'!$E$11,I457*'模板使用说明&amp;基础参数'!$E$5*'模板使用说明&amp;基础参数'!$E$10)),IF(J457="中",IF(K457="删除",I457*'模板使用说明&amp;基础参数'!$E$6*'模板使用说明&amp;基础参数'!$E$12,IF(K457="修改",I457*'模板使用说明&amp;基础参数'!$E$6*'模板使用说明&amp;基础参数'!$E$11,I457*'模板使用说明&amp;基础参数'!$E$6*'模板使用说明&amp;基础参数'!$E$10)),IF(K457="删除",I457*'模板使用说明&amp;基础参数'!$E$7*'模板使用说明&amp;基础参数'!$E$12,IF(K457="修改",I457*'模板使用说明&amp;基础参数'!$E$7*'模板使用说明&amp;基础参数'!$E$11,I457*'模板使用说明&amp;基础参数'!$E$7*'模板使用说明&amp;基础参数'!$E$10)))))</f>
        <v>1.06666666666667</v>
      </c>
      <c r="M457" s="95"/>
      <c r="N457" s="99"/>
      <c r="O457" s="100"/>
    </row>
    <row r="458" s="70" customFormat="1" ht="25" customHeight="1" spans="1:15">
      <c r="A458" s="93">
        <v>453</v>
      </c>
      <c r="B458" s="94" t="s">
        <v>72</v>
      </c>
      <c r="C458" s="95" t="s">
        <v>998</v>
      </c>
      <c r="D458" s="95" t="s">
        <v>999</v>
      </c>
      <c r="E458" s="95" t="s">
        <v>999</v>
      </c>
      <c r="F458" s="95" t="s">
        <v>1004</v>
      </c>
      <c r="G458" s="95" t="s">
        <v>1005</v>
      </c>
      <c r="H458" s="93" t="s">
        <v>84</v>
      </c>
      <c r="I458" s="96">
        <f>IF(H458="ILF",IF($C$1="预估功能点",'模板使用说明&amp;基础参数'!$E$15,7),IF(H458="EIF",IF($C$1="预估功能点",'模板使用说明&amp;基础参数'!$E$16,5),IF(H458="EI",IF($C$1="预估功能点",'模板使用说明&amp;基础参数'!$E$17,'模板使用说明&amp;基础参数'!$E$24),IF(H458="EO",IF($C$1="预估功能点",'模板使用说明&amp;基础参数'!$E$18,'模板使用说明&amp;基础参数'!$E$25),IF(H458="EQ",IF($C$1="预估功能点",'模板使用说明&amp;基础参数'!$E$19,'模板使用说明&amp;基础参数'!$E$26),"")))))</f>
        <v>4</v>
      </c>
      <c r="J458" s="97" t="s">
        <v>38</v>
      </c>
      <c r="K458" s="97" t="s">
        <v>78</v>
      </c>
      <c r="L458" s="98">
        <f>IF(I458="","",IF(J458="高",IF(K458="删除",I458*'模板使用说明&amp;基础参数'!$E$5*'模板使用说明&amp;基础参数'!$E$12,IF(K458="修改",I458*'模板使用说明&amp;基础参数'!$E$5*'模板使用说明&amp;基础参数'!$E$11,I458*'模板使用说明&amp;基础参数'!$E$5*'模板使用说明&amp;基础参数'!$E$10)),IF(J458="中",IF(K458="删除",I458*'模板使用说明&amp;基础参数'!$E$6*'模板使用说明&amp;基础参数'!$E$12,IF(K458="修改",I458*'模板使用说明&amp;基础参数'!$E$6*'模板使用说明&amp;基础参数'!$E$11,I458*'模板使用说明&amp;基础参数'!$E$6*'模板使用说明&amp;基础参数'!$E$10)),IF(K458="删除",I458*'模板使用说明&amp;基础参数'!$E$7*'模板使用说明&amp;基础参数'!$E$12,IF(K458="修改",I458*'模板使用说明&amp;基础参数'!$E$7*'模板使用说明&amp;基础参数'!$E$11,I458*'模板使用说明&amp;基础参数'!$E$7*'模板使用说明&amp;基础参数'!$E$10)))))</f>
        <v>1.06666666666667</v>
      </c>
      <c r="M458" s="95"/>
      <c r="N458" s="99"/>
      <c r="O458" s="100"/>
    </row>
    <row r="459" s="70" customFormat="1" ht="25" customHeight="1" spans="1:15">
      <c r="A459" s="93">
        <v>454</v>
      </c>
      <c r="B459" s="94" t="s">
        <v>72</v>
      </c>
      <c r="C459" s="95" t="s">
        <v>998</v>
      </c>
      <c r="D459" s="95" t="s">
        <v>999</v>
      </c>
      <c r="E459" s="95" t="s">
        <v>999</v>
      </c>
      <c r="F459" s="95" t="s">
        <v>1006</v>
      </c>
      <c r="G459" s="95" t="s">
        <v>1007</v>
      </c>
      <c r="H459" s="93" t="s">
        <v>84</v>
      </c>
      <c r="I459" s="96">
        <f>IF(H459="ILF",IF($C$1="预估功能点",'模板使用说明&amp;基础参数'!$E$15,7),IF(H459="EIF",IF($C$1="预估功能点",'模板使用说明&amp;基础参数'!$E$16,5),IF(H459="EI",IF($C$1="预估功能点",'模板使用说明&amp;基础参数'!$E$17,'模板使用说明&amp;基础参数'!$E$24),IF(H459="EO",IF($C$1="预估功能点",'模板使用说明&amp;基础参数'!$E$18,'模板使用说明&amp;基础参数'!$E$25),IF(H459="EQ",IF($C$1="预估功能点",'模板使用说明&amp;基础参数'!$E$19,'模板使用说明&amp;基础参数'!$E$26),"")))))</f>
        <v>4</v>
      </c>
      <c r="J459" s="97" t="s">
        <v>38</v>
      </c>
      <c r="K459" s="97" t="s">
        <v>78</v>
      </c>
      <c r="L459" s="98">
        <f>IF(I459="","",IF(J459="高",IF(K459="删除",I459*'模板使用说明&amp;基础参数'!$E$5*'模板使用说明&amp;基础参数'!$E$12,IF(K459="修改",I459*'模板使用说明&amp;基础参数'!$E$5*'模板使用说明&amp;基础参数'!$E$11,I459*'模板使用说明&amp;基础参数'!$E$5*'模板使用说明&amp;基础参数'!$E$10)),IF(J459="中",IF(K459="删除",I459*'模板使用说明&amp;基础参数'!$E$6*'模板使用说明&amp;基础参数'!$E$12,IF(K459="修改",I459*'模板使用说明&amp;基础参数'!$E$6*'模板使用说明&amp;基础参数'!$E$11,I459*'模板使用说明&amp;基础参数'!$E$6*'模板使用说明&amp;基础参数'!$E$10)),IF(K459="删除",I459*'模板使用说明&amp;基础参数'!$E$7*'模板使用说明&amp;基础参数'!$E$12,IF(K459="修改",I459*'模板使用说明&amp;基础参数'!$E$7*'模板使用说明&amp;基础参数'!$E$11,I459*'模板使用说明&amp;基础参数'!$E$7*'模板使用说明&amp;基础参数'!$E$10)))))</f>
        <v>1.06666666666667</v>
      </c>
      <c r="M459" s="95"/>
      <c r="N459" s="99"/>
      <c r="O459" s="100"/>
    </row>
    <row r="460" s="70" customFormat="1" ht="25" customHeight="1" spans="1:15">
      <c r="A460" s="93">
        <v>455</v>
      </c>
      <c r="B460" s="94" t="s">
        <v>72</v>
      </c>
      <c r="C460" s="95" t="s">
        <v>998</v>
      </c>
      <c r="D460" s="95" t="s">
        <v>999</v>
      </c>
      <c r="E460" s="95" t="s">
        <v>999</v>
      </c>
      <c r="F460" s="95" t="s">
        <v>1008</v>
      </c>
      <c r="G460" s="95" t="s">
        <v>1009</v>
      </c>
      <c r="H460" s="93" t="s">
        <v>84</v>
      </c>
      <c r="I460" s="96">
        <f>IF(H460="ILF",IF($C$1="预估功能点",'模板使用说明&amp;基础参数'!$E$15,7),IF(H460="EIF",IF($C$1="预估功能点",'模板使用说明&amp;基础参数'!$E$16,5),IF(H460="EI",IF($C$1="预估功能点",'模板使用说明&amp;基础参数'!$E$17,'模板使用说明&amp;基础参数'!$E$24),IF(H460="EO",IF($C$1="预估功能点",'模板使用说明&amp;基础参数'!$E$18,'模板使用说明&amp;基础参数'!$E$25),IF(H460="EQ",IF($C$1="预估功能点",'模板使用说明&amp;基础参数'!$E$19,'模板使用说明&amp;基础参数'!$E$26),"")))))</f>
        <v>4</v>
      </c>
      <c r="J460" s="97" t="s">
        <v>38</v>
      </c>
      <c r="K460" s="97" t="s">
        <v>78</v>
      </c>
      <c r="L460" s="98">
        <f>IF(I460="","",IF(J460="高",IF(K460="删除",I460*'模板使用说明&amp;基础参数'!$E$5*'模板使用说明&amp;基础参数'!$E$12,IF(K460="修改",I460*'模板使用说明&amp;基础参数'!$E$5*'模板使用说明&amp;基础参数'!$E$11,I460*'模板使用说明&amp;基础参数'!$E$5*'模板使用说明&amp;基础参数'!$E$10)),IF(J460="中",IF(K460="删除",I460*'模板使用说明&amp;基础参数'!$E$6*'模板使用说明&amp;基础参数'!$E$12,IF(K460="修改",I460*'模板使用说明&amp;基础参数'!$E$6*'模板使用说明&amp;基础参数'!$E$11,I460*'模板使用说明&amp;基础参数'!$E$6*'模板使用说明&amp;基础参数'!$E$10)),IF(K460="删除",I460*'模板使用说明&amp;基础参数'!$E$7*'模板使用说明&amp;基础参数'!$E$12,IF(K460="修改",I460*'模板使用说明&amp;基础参数'!$E$7*'模板使用说明&amp;基础参数'!$E$11,I460*'模板使用说明&amp;基础参数'!$E$7*'模板使用说明&amp;基础参数'!$E$10)))))</f>
        <v>1.06666666666667</v>
      </c>
      <c r="M460" s="95"/>
      <c r="N460" s="99"/>
      <c r="O460" s="100"/>
    </row>
    <row r="461" s="70" customFormat="1" ht="25" customHeight="1" spans="1:15">
      <c r="A461" s="93">
        <v>456</v>
      </c>
      <c r="B461" s="94" t="s">
        <v>72</v>
      </c>
      <c r="C461" s="95" t="s">
        <v>998</v>
      </c>
      <c r="D461" s="95" t="s">
        <v>999</v>
      </c>
      <c r="E461" s="95" t="s">
        <v>999</v>
      </c>
      <c r="F461" s="95" t="s">
        <v>1010</v>
      </c>
      <c r="G461" s="95" t="s">
        <v>1011</v>
      </c>
      <c r="H461" s="93" t="s">
        <v>77</v>
      </c>
      <c r="I461" s="96">
        <f>IF(H461="ILF",IF($C$1="预估功能点",'模板使用说明&amp;基础参数'!$E$15,7),IF(H461="EIF",IF($C$1="预估功能点",'模板使用说明&amp;基础参数'!$E$16,5),IF(H461="EI",IF($C$1="预估功能点",'模板使用说明&amp;基础参数'!$E$17,'模板使用说明&amp;基础参数'!$E$24),IF(H461="EO",IF($C$1="预估功能点",'模板使用说明&amp;基础参数'!$E$18,'模板使用说明&amp;基础参数'!$E$25),IF(H461="EQ",IF($C$1="预估功能点",'模板使用说明&amp;基础参数'!$E$19,'模板使用说明&amp;基础参数'!$E$26),"")))))</f>
        <v>7</v>
      </c>
      <c r="J461" s="97" t="s">
        <v>38</v>
      </c>
      <c r="K461" s="97" t="s">
        <v>78</v>
      </c>
      <c r="L461" s="98">
        <f>IF(I461="","",IF(J461="高",IF(K461="删除",I461*'模板使用说明&amp;基础参数'!$E$5*'模板使用说明&amp;基础参数'!$E$12,IF(K461="修改",I461*'模板使用说明&amp;基础参数'!$E$5*'模板使用说明&amp;基础参数'!$E$11,I461*'模板使用说明&amp;基础参数'!$E$5*'模板使用说明&amp;基础参数'!$E$10)),IF(J461="中",IF(K461="删除",I461*'模板使用说明&amp;基础参数'!$E$6*'模板使用说明&amp;基础参数'!$E$12,IF(K461="修改",I461*'模板使用说明&amp;基础参数'!$E$6*'模板使用说明&amp;基础参数'!$E$11,I461*'模板使用说明&amp;基础参数'!$E$6*'模板使用说明&amp;基础参数'!$E$10)),IF(K461="删除",I461*'模板使用说明&amp;基础参数'!$E$7*'模板使用说明&amp;基础参数'!$E$12,IF(K461="修改",I461*'模板使用说明&amp;基础参数'!$E$7*'模板使用说明&amp;基础参数'!$E$11,I461*'模板使用说明&amp;基础参数'!$E$7*'模板使用说明&amp;基础参数'!$E$10)))))</f>
        <v>1.86666666666666</v>
      </c>
      <c r="M461" s="95"/>
      <c r="N461" s="99"/>
      <c r="O461" s="100"/>
    </row>
    <row r="462" s="70" customFormat="1" ht="25" customHeight="1" spans="1:15">
      <c r="A462" s="93">
        <v>457</v>
      </c>
      <c r="B462" s="94" t="s">
        <v>72</v>
      </c>
      <c r="C462" s="95" t="s">
        <v>998</v>
      </c>
      <c r="D462" s="95" t="s">
        <v>999</v>
      </c>
      <c r="E462" s="95" t="s">
        <v>999</v>
      </c>
      <c r="F462" s="95" t="s">
        <v>1012</v>
      </c>
      <c r="G462" s="95" t="s">
        <v>1013</v>
      </c>
      <c r="H462" s="93" t="s">
        <v>81</v>
      </c>
      <c r="I462" s="96">
        <f>IF(H462="ILF",IF($C$1="预估功能点",'模板使用说明&amp;基础参数'!$E$15,7),IF(H462="EIF",IF($C$1="预估功能点",'模板使用说明&amp;基础参数'!$E$16,5),IF(H462="EI",IF($C$1="预估功能点",'模板使用说明&amp;基础参数'!$E$17,'模板使用说明&amp;基础参数'!$E$24),IF(H462="EO",IF($C$1="预估功能点",'模板使用说明&amp;基础参数'!$E$18,'模板使用说明&amp;基础参数'!$E$25),IF(H462="EQ",IF($C$1="预估功能点",'模板使用说明&amp;基础参数'!$E$19,'模板使用说明&amp;基础参数'!$E$26),"")))))</f>
        <v>4</v>
      </c>
      <c r="J462" s="97" t="s">
        <v>38</v>
      </c>
      <c r="K462" s="97" t="s">
        <v>78</v>
      </c>
      <c r="L462" s="98">
        <f>IF(I462="","",IF(J462="高",IF(K462="删除",I462*'模板使用说明&amp;基础参数'!$E$5*'模板使用说明&amp;基础参数'!$E$12,IF(K462="修改",I462*'模板使用说明&amp;基础参数'!$E$5*'模板使用说明&amp;基础参数'!$E$11,I462*'模板使用说明&amp;基础参数'!$E$5*'模板使用说明&amp;基础参数'!$E$10)),IF(J462="中",IF(K462="删除",I462*'模板使用说明&amp;基础参数'!$E$6*'模板使用说明&amp;基础参数'!$E$12,IF(K462="修改",I462*'模板使用说明&amp;基础参数'!$E$6*'模板使用说明&amp;基础参数'!$E$11,I462*'模板使用说明&amp;基础参数'!$E$6*'模板使用说明&amp;基础参数'!$E$10)),IF(K462="删除",I462*'模板使用说明&amp;基础参数'!$E$7*'模板使用说明&amp;基础参数'!$E$12,IF(K462="修改",I462*'模板使用说明&amp;基础参数'!$E$7*'模板使用说明&amp;基础参数'!$E$11,I462*'模板使用说明&amp;基础参数'!$E$7*'模板使用说明&amp;基础参数'!$E$10)))))</f>
        <v>1.06666666666667</v>
      </c>
      <c r="M462" s="95"/>
      <c r="N462" s="99"/>
      <c r="O462" s="100"/>
    </row>
    <row r="463" s="70" customFormat="1" ht="25" customHeight="1" spans="1:15">
      <c r="A463" s="93">
        <v>458</v>
      </c>
      <c r="B463" s="94" t="s">
        <v>72</v>
      </c>
      <c r="C463" s="95" t="s">
        <v>998</v>
      </c>
      <c r="D463" s="95" t="s">
        <v>999</v>
      </c>
      <c r="E463" s="95" t="s">
        <v>999</v>
      </c>
      <c r="F463" s="95" t="s">
        <v>1014</v>
      </c>
      <c r="G463" s="95" t="s">
        <v>1015</v>
      </c>
      <c r="H463" s="93" t="s">
        <v>84</v>
      </c>
      <c r="I463" s="96">
        <f>IF(H463="ILF",IF($C$1="预估功能点",'模板使用说明&amp;基础参数'!$E$15,7),IF(H463="EIF",IF($C$1="预估功能点",'模板使用说明&amp;基础参数'!$E$16,5),IF(H463="EI",IF($C$1="预估功能点",'模板使用说明&amp;基础参数'!$E$17,'模板使用说明&amp;基础参数'!$E$24),IF(H463="EO",IF($C$1="预估功能点",'模板使用说明&amp;基础参数'!$E$18,'模板使用说明&amp;基础参数'!$E$25),IF(H463="EQ",IF($C$1="预估功能点",'模板使用说明&amp;基础参数'!$E$19,'模板使用说明&amp;基础参数'!$E$26),"")))))</f>
        <v>4</v>
      </c>
      <c r="J463" s="97" t="s">
        <v>38</v>
      </c>
      <c r="K463" s="97" t="s">
        <v>78</v>
      </c>
      <c r="L463" s="98">
        <f>IF(I463="","",IF(J463="高",IF(K463="删除",I463*'模板使用说明&amp;基础参数'!$E$5*'模板使用说明&amp;基础参数'!$E$12,IF(K463="修改",I463*'模板使用说明&amp;基础参数'!$E$5*'模板使用说明&amp;基础参数'!$E$11,I463*'模板使用说明&amp;基础参数'!$E$5*'模板使用说明&amp;基础参数'!$E$10)),IF(J463="中",IF(K463="删除",I463*'模板使用说明&amp;基础参数'!$E$6*'模板使用说明&amp;基础参数'!$E$12,IF(K463="修改",I463*'模板使用说明&amp;基础参数'!$E$6*'模板使用说明&amp;基础参数'!$E$11,I463*'模板使用说明&amp;基础参数'!$E$6*'模板使用说明&amp;基础参数'!$E$10)),IF(K463="删除",I463*'模板使用说明&amp;基础参数'!$E$7*'模板使用说明&amp;基础参数'!$E$12,IF(K463="修改",I463*'模板使用说明&amp;基础参数'!$E$7*'模板使用说明&amp;基础参数'!$E$11,I463*'模板使用说明&amp;基础参数'!$E$7*'模板使用说明&amp;基础参数'!$E$10)))))</f>
        <v>1.06666666666667</v>
      </c>
      <c r="M463" s="95"/>
      <c r="N463" s="99"/>
      <c r="O463" s="100"/>
    </row>
    <row r="464" s="70" customFormat="1" ht="25" customHeight="1" spans="1:15">
      <c r="A464" s="93">
        <v>459</v>
      </c>
      <c r="B464" s="94" t="s">
        <v>72</v>
      </c>
      <c r="C464" s="95" t="s">
        <v>998</v>
      </c>
      <c r="D464" s="95" t="s">
        <v>999</v>
      </c>
      <c r="E464" s="95" t="s">
        <v>999</v>
      </c>
      <c r="F464" s="95" t="s">
        <v>1016</v>
      </c>
      <c r="G464" s="95" t="s">
        <v>1017</v>
      </c>
      <c r="H464" s="93" t="s">
        <v>84</v>
      </c>
      <c r="I464" s="96">
        <f>IF(H464="ILF",IF($C$1="预估功能点",'模板使用说明&amp;基础参数'!$E$15,7),IF(H464="EIF",IF($C$1="预估功能点",'模板使用说明&amp;基础参数'!$E$16,5),IF(H464="EI",IF($C$1="预估功能点",'模板使用说明&amp;基础参数'!$E$17,'模板使用说明&amp;基础参数'!$E$24),IF(H464="EO",IF($C$1="预估功能点",'模板使用说明&amp;基础参数'!$E$18,'模板使用说明&amp;基础参数'!$E$25),IF(H464="EQ",IF($C$1="预估功能点",'模板使用说明&amp;基础参数'!$E$19,'模板使用说明&amp;基础参数'!$E$26),"")))))</f>
        <v>4</v>
      </c>
      <c r="J464" s="97" t="s">
        <v>38</v>
      </c>
      <c r="K464" s="97" t="s">
        <v>78</v>
      </c>
      <c r="L464" s="98">
        <f>IF(I464="","",IF(J464="高",IF(K464="删除",I464*'模板使用说明&amp;基础参数'!$E$5*'模板使用说明&amp;基础参数'!$E$12,IF(K464="修改",I464*'模板使用说明&amp;基础参数'!$E$5*'模板使用说明&amp;基础参数'!$E$11,I464*'模板使用说明&amp;基础参数'!$E$5*'模板使用说明&amp;基础参数'!$E$10)),IF(J464="中",IF(K464="删除",I464*'模板使用说明&amp;基础参数'!$E$6*'模板使用说明&amp;基础参数'!$E$12,IF(K464="修改",I464*'模板使用说明&amp;基础参数'!$E$6*'模板使用说明&amp;基础参数'!$E$11,I464*'模板使用说明&amp;基础参数'!$E$6*'模板使用说明&amp;基础参数'!$E$10)),IF(K464="删除",I464*'模板使用说明&amp;基础参数'!$E$7*'模板使用说明&amp;基础参数'!$E$12,IF(K464="修改",I464*'模板使用说明&amp;基础参数'!$E$7*'模板使用说明&amp;基础参数'!$E$11,I464*'模板使用说明&amp;基础参数'!$E$7*'模板使用说明&amp;基础参数'!$E$10)))))</f>
        <v>1.06666666666667</v>
      </c>
      <c r="M464" s="95"/>
      <c r="N464" s="99"/>
      <c r="O464" s="100"/>
    </row>
    <row r="465" s="70" customFormat="1" ht="25" customHeight="1" spans="1:15">
      <c r="A465" s="93">
        <v>460</v>
      </c>
      <c r="B465" s="94" t="s">
        <v>72</v>
      </c>
      <c r="C465" s="95" t="s">
        <v>998</v>
      </c>
      <c r="D465" s="95" t="s">
        <v>999</v>
      </c>
      <c r="E465" s="95" t="s">
        <v>999</v>
      </c>
      <c r="F465" s="95" t="s">
        <v>1018</v>
      </c>
      <c r="G465" s="95" t="s">
        <v>1019</v>
      </c>
      <c r="H465" s="93" t="s">
        <v>84</v>
      </c>
      <c r="I465" s="96">
        <f>IF(H465="ILF",IF($C$1="预估功能点",'模板使用说明&amp;基础参数'!$E$15,7),IF(H465="EIF",IF($C$1="预估功能点",'模板使用说明&amp;基础参数'!$E$16,5),IF(H465="EI",IF($C$1="预估功能点",'模板使用说明&amp;基础参数'!$E$17,'模板使用说明&amp;基础参数'!$E$24),IF(H465="EO",IF($C$1="预估功能点",'模板使用说明&amp;基础参数'!$E$18,'模板使用说明&amp;基础参数'!$E$25),IF(H465="EQ",IF($C$1="预估功能点",'模板使用说明&amp;基础参数'!$E$19,'模板使用说明&amp;基础参数'!$E$26),"")))))</f>
        <v>4</v>
      </c>
      <c r="J465" s="97" t="s">
        <v>38</v>
      </c>
      <c r="K465" s="97" t="s">
        <v>78</v>
      </c>
      <c r="L465" s="98">
        <f>IF(I465="","",IF(J465="高",IF(K465="删除",I465*'模板使用说明&amp;基础参数'!$E$5*'模板使用说明&amp;基础参数'!$E$12,IF(K465="修改",I465*'模板使用说明&amp;基础参数'!$E$5*'模板使用说明&amp;基础参数'!$E$11,I465*'模板使用说明&amp;基础参数'!$E$5*'模板使用说明&amp;基础参数'!$E$10)),IF(J465="中",IF(K465="删除",I465*'模板使用说明&amp;基础参数'!$E$6*'模板使用说明&amp;基础参数'!$E$12,IF(K465="修改",I465*'模板使用说明&amp;基础参数'!$E$6*'模板使用说明&amp;基础参数'!$E$11,I465*'模板使用说明&amp;基础参数'!$E$6*'模板使用说明&amp;基础参数'!$E$10)),IF(K465="删除",I465*'模板使用说明&amp;基础参数'!$E$7*'模板使用说明&amp;基础参数'!$E$12,IF(K465="修改",I465*'模板使用说明&amp;基础参数'!$E$7*'模板使用说明&amp;基础参数'!$E$11,I465*'模板使用说明&amp;基础参数'!$E$7*'模板使用说明&amp;基础参数'!$E$10)))))</f>
        <v>1.06666666666667</v>
      </c>
      <c r="M465" s="95"/>
      <c r="N465" s="99"/>
      <c r="O465" s="100"/>
    </row>
    <row r="466" s="70" customFormat="1" ht="25" customHeight="1" spans="1:15">
      <c r="A466" s="93">
        <v>461</v>
      </c>
      <c r="B466" s="94" t="s">
        <v>72</v>
      </c>
      <c r="C466" s="95" t="s">
        <v>998</v>
      </c>
      <c r="D466" s="95" t="s">
        <v>999</v>
      </c>
      <c r="E466" s="95" t="s">
        <v>999</v>
      </c>
      <c r="F466" s="95" t="s">
        <v>1020</v>
      </c>
      <c r="G466" s="95" t="s">
        <v>1021</v>
      </c>
      <c r="H466" s="93" t="s">
        <v>77</v>
      </c>
      <c r="I466" s="96">
        <f>IF(H466="ILF",IF($C$1="预估功能点",'模板使用说明&amp;基础参数'!$E$15,7),IF(H466="EIF",IF($C$1="预估功能点",'模板使用说明&amp;基础参数'!$E$16,5),IF(H466="EI",IF($C$1="预估功能点",'模板使用说明&amp;基础参数'!$E$17,'模板使用说明&amp;基础参数'!$E$24),IF(H466="EO",IF($C$1="预估功能点",'模板使用说明&amp;基础参数'!$E$18,'模板使用说明&amp;基础参数'!$E$25),IF(H466="EQ",IF($C$1="预估功能点",'模板使用说明&amp;基础参数'!$E$19,'模板使用说明&amp;基础参数'!$E$26),"")))))</f>
        <v>7</v>
      </c>
      <c r="J466" s="97" t="s">
        <v>38</v>
      </c>
      <c r="K466" s="97" t="s">
        <v>78</v>
      </c>
      <c r="L466" s="98">
        <f>IF(I466="","",IF(J466="高",IF(K466="删除",I466*'模板使用说明&amp;基础参数'!$E$5*'模板使用说明&amp;基础参数'!$E$12,IF(K466="修改",I466*'模板使用说明&amp;基础参数'!$E$5*'模板使用说明&amp;基础参数'!$E$11,I466*'模板使用说明&amp;基础参数'!$E$5*'模板使用说明&amp;基础参数'!$E$10)),IF(J466="中",IF(K466="删除",I466*'模板使用说明&amp;基础参数'!$E$6*'模板使用说明&amp;基础参数'!$E$12,IF(K466="修改",I466*'模板使用说明&amp;基础参数'!$E$6*'模板使用说明&amp;基础参数'!$E$11,I466*'模板使用说明&amp;基础参数'!$E$6*'模板使用说明&amp;基础参数'!$E$10)),IF(K466="删除",I466*'模板使用说明&amp;基础参数'!$E$7*'模板使用说明&amp;基础参数'!$E$12,IF(K466="修改",I466*'模板使用说明&amp;基础参数'!$E$7*'模板使用说明&amp;基础参数'!$E$11,I466*'模板使用说明&amp;基础参数'!$E$7*'模板使用说明&amp;基础参数'!$E$10)))))</f>
        <v>1.86666666666666</v>
      </c>
      <c r="M466" s="95"/>
      <c r="N466" s="99"/>
      <c r="O466" s="100"/>
    </row>
    <row r="467" s="70" customFormat="1" ht="25" customHeight="1" spans="1:15">
      <c r="A467" s="93">
        <v>462</v>
      </c>
      <c r="B467" s="94" t="s">
        <v>72</v>
      </c>
      <c r="C467" s="95" t="s">
        <v>998</v>
      </c>
      <c r="D467" s="95" t="s">
        <v>999</v>
      </c>
      <c r="E467" s="95" t="s">
        <v>999</v>
      </c>
      <c r="F467" s="95" t="s">
        <v>1022</v>
      </c>
      <c r="G467" s="95" t="s">
        <v>1023</v>
      </c>
      <c r="H467" s="93" t="s">
        <v>81</v>
      </c>
      <c r="I467" s="96">
        <f>IF(H467="ILF",IF($C$1="预估功能点",'模板使用说明&amp;基础参数'!$E$15,7),IF(H467="EIF",IF($C$1="预估功能点",'模板使用说明&amp;基础参数'!$E$16,5),IF(H467="EI",IF($C$1="预估功能点",'模板使用说明&amp;基础参数'!$E$17,'模板使用说明&amp;基础参数'!$E$24),IF(H467="EO",IF($C$1="预估功能点",'模板使用说明&amp;基础参数'!$E$18,'模板使用说明&amp;基础参数'!$E$25),IF(H467="EQ",IF($C$1="预估功能点",'模板使用说明&amp;基础参数'!$E$19,'模板使用说明&amp;基础参数'!$E$26),"")))))</f>
        <v>4</v>
      </c>
      <c r="J467" s="97" t="s">
        <v>38</v>
      </c>
      <c r="K467" s="97" t="s">
        <v>78</v>
      </c>
      <c r="L467" s="98">
        <f>IF(I467="","",IF(J467="高",IF(K467="删除",I467*'模板使用说明&amp;基础参数'!$E$5*'模板使用说明&amp;基础参数'!$E$12,IF(K467="修改",I467*'模板使用说明&amp;基础参数'!$E$5*'模板使用说明&amp;基础参数'!$E$11,I467*'模板使用说明&amp;基础参数'!$E$5*'模板使用说明&amp;基础参数'!$E$10)),IF(J467="中",IF(K467="删除",I467*'模板使用说明&amp;基础参数'!$E$6*'模板使用说明&amp;基础参数'!$E$12,IF(K467="修改",I467*'模板使用说明&amp;基础参数'!$E$6*'模板使用说明&amp;基础参数'!$E$11,I467*'模板使用说明&amp;基础参数'!$E$6*'模板使用说明&amp;基础参数'!$E$10)),IF(K467="删除",I467*'模板使用说明&amp;基础参数'!$E$7*'模板使用说明&amp;基础参数'!$E$12,IF(K467="修改",I467*'模板使用说明&amp;基础参数'!$E$7*'模板使用说明&amp;基础参数'!$E$11,I467*'模板使用说明&amp;基础参数'!$E$7*'模板使用说明&amp;基础参数'!$E$10)))))</f>
        <v>1.06666666666667</v>
      </c>
      <c r="M467" s="95"/>
      <c r="N467" s="99"/>
      <c r="O467" s="100"/>
    </row>
    <row r="468" s="70" customFormat="1" ht="25" customHeight="1" spans="1:15">
      <c r="A468" s="93">
        <v>463</v>
      </c>
      <c r="B468" s="94" t="s">
        <v>72</v>
      </c>
      <c r="C468" s="95" t="s">
        <v>998</v>
      </c>
      <c r="D468" s="95" t="s">
        <v>999</v>
      </c>
      <c r="E468" s="95" t="s">
        <v>999</v>
      </c>
      <c r="F468" s="95" t="s">
        <v>1024</v>
      </c>
      <c r="G468" s="95" t="s">
        <v>1025</v>
      </c>
      <c r="H468" s="93" t="s">
        <v>84</v>
      </c>
      <c r="I468" s="96">
        <f>IF(H468="ILF",IF($C$1="预估功能点",'模板使用说明&amp;基础参数'!$E$15,7),IF(H468="EIF",IF($C$1="预估功能点",'模板使用说明&amp;基础参数'!$E$16,5),IF(H468="EI",IF($C$1="预估功能点",'模板使用说明&amp;基础参数'!$E$17,'模板使用说明&amp;基础参数'!$E$24),IF(H468="EO",IF($C$1="预估功能点",'模板使用说明&amp;基础参数'!$E$18,'模板使用说明&amp;基础参数'!$E$25),IF(H468="EQ",IF($C$1="预估功能点",'模板使用说明&amp;基础参数'!$E$19,'模板使用说明&amp;基础参数'!$E$26),"")))))</f>
        <v>4</v>
      </c>
      <c r="J468" s="97" t="s">
        <v>38</v>
      </c>
      <c r="K468" s="97" t="s">
        <v>78</v>
      </c>
      <c r="L468" s="98">
        <f>IF(I468="","",IF(J468="高",IF(K468="删除",I468*'模板使用说明&amp;基础参数'!$E$5*'模板使用说明&amp;基础参数'!$E$12,IF(K468="修改",I468*'模板使用说明&amp;基础参数'!$E$5*'模板使用说明&amp;基础参数'!$E$11,I468*'模板使用说明&amp;基础参数'!$E$5*'模板使用说明&amp;基础参数'!$E$10)),IF(J468="中",IF(K468="删除",I468*'模板使用说明&amp;基础参数'!$E$6*'模板使用说明&amp;基础参数'!$E$12,IF(K468="修改",I468*'模板使用说明&amp;基础参数'!$E$6*'模板使用说明&amp;基础参数'!$E$11,I468*'模板使用说明&amp;基础参数'!$E$6*'模板使用说明&amp;基础参数'!$E$10)),IF(K468="删除",I468*'模板使用说明&amp;基础参数'!$E$7*'模板使用说明&amp;基础参数'!$E$12,IF(K468="修改",I468*'模板使用说明&amp;基础参数'!$E$7*'模板使用说明&amp;基础参数'!$E$11,I468*'模板使用说明&amp;基础参数'!$E$7*'模板使用说明&amp;基础参数'!$E$10)))))</f>
        <v>1.06666666666667</v>
      </c>
      <c r="M468" s="95"/>
      <c r="N468" s="99"/>
      <c r="O468" s="100"/>
    </row>
    <row r="469" s="70" customFormat="1" ht="25" customHeight="1" spans="1:15">
      <c r="A469" s="93">
        <v>464</v>
      </c>
      <c r="B469" s="94" t="s">
        <v>72</v>
      </c>
      <c r="C469" s="95" t="s">
        <v>998</v>
      </c>
      <c r="D469" s="95" t="s">
        <v>999</v>
      </c>
      <c r="E469" s="95" t="s">
        <v>999</v>
      </c>
      <c r="F469" s="95" t="s">
        <v>1026</v>
      </c>
      <c r="G469" s="95" t="s">
        <v>1027</v>
      </c>
      <c r="H469" s="93" t="s">
        <v>84</v>
      </c>
      <c r="I469" s="96">
        <f>IF(H469="ILF",IF($C$1="预估功能点",'模板使用说明&amp;基础参数'!$E$15,7),IF(H469="EIF",IF($C$1="预估功能点",'模板使用说明&amp;基础参数'!$E$16,5),IF(H469="EI",IF($C$1="预估功能点",'模板使用说明&amp;基础参数'!$E$17,'模板使用说明&amp;基础参数'!$E$24),IF(H469="EO",IF($C$1="预估功能点",'模板使用说明&amp;基础参数'!$E$18,'模板使用说明&amp;基础参数'!$E$25),IF(H469="EQ",IF($C$1="预估功能点",'模板使用说明&amp;基础参数'!$E$19,'模板使用说明&amp;基础参数'!$E$26),"")))))</f>
        <v>4</v>
      </c>
      <c r="J469" s="97" t="s">
        <v>38</v>
      </c>
      <c r="K469" s="97" t="s">
        <v>78</v>
      </c>
      <c r="L469" s="98">
        <f>IF(I469="","",IF(J469="高",IF(K469="删除",I469*'模板使用说明&amp;基础参数'!$E$5*'模板使用说明&amp;基础参数'!$E$12,IF(K469="修改",I469*'模板使用说明&amp;基础参数'!$E$5*'模板使用说明&amp;基础参数'!$E$11,I469*'模板使用说明&amp;基础参数'!$E$5*'模板使用说明&amp;基础参数'!$E$10)),IF(J469="中",IF(K469="删除",I469*'模板使用说明&amp;基础参数'!$E$6*'模板使用说明&amp;基础参数'!$E$12,IF(K469="修改",I469*'模板使用说明&amp;基础参数'!$E$6*'模板使用说明&amp;基础参数'!$E$11,I469*'模板使用说明&amp;基础参数'!$E$6*'模板使用说明&amp;基础参数'!$E$10)),IF(K469="删除",I469*'模板使用说明&amp;基础参数'!$E$7*'模板使用说明&amp;基础参数'!$E$12,IF(K469="修改",I469*'模板使用说明&amp;基础参数'!$E$7*'模板使用说明&amp;基础参数'!$E$11,I469*'模板使用说明&amp;基础参数'!$E$7*'模板使用说明&amp;基础参数'!$E$10)))))</f>
        <v>1.06666666666667</v>
      </c>
      <c r="M469" s="95"/>
      <c r="N469" s="99"/>
      <c r="O469" s="100"/>
    </row>
    <row r="470" s="70" customFormat="1" ht="25" customHeight="1" spans="1:15">
      <c r="A470" s="93">
        <v>465</v>
      </c>
      <c r="B470" s="94" t="s">
        <v>72</v>
      </c>
      <c r="C470" s="95" t="s">
        <v>998</v>
      </c>
      <c r="D470" s="95" t="s">
        <v>999</v>
      </c>
      <c r="E470" s="95" t="s">
        <v>999</v>
      </c>
      <c r="F470" s="95" t="s">
        <v>1028</v>
      </c>
      <c r="G470" s="95" t="s">
        <v>1029</v>
      </c>
      <c r="H470" s="93" t="s">
        <v>84</v>
      </c>
      <c r="I470" s="96">
        <f>IF(H470="ILF",IF($C$1="预估功能点",'模板使用说明&amp;基础参数'!$E$15,7),IF(H470="EIF",IF($C$1="预估功能点",'模板使用说明&amp;基础参数'!$E$16,5),IF(H470="EI",IF($C$1="预估功能点",'模板使用说明&amp;基础参数'!$E$17,'模板使用说明&amp;基础参数'!$E$24),IF(H470="EO",IF($C$1="预估功能点",'模板使用说明&amp;基础参数'!$E$18,'模板使用说明&amp;基础参数'!$E$25),IF(H470="EQ",IF($C$1="预估功能点",'模板使用说明&amp;基础参数'!$E$19,'模板使用说明&amp;基础参数'!$E$26),"")))))</f>
        <v>4</v>
      </c>
      <c r="J470" s="97" t="s">
        <v>38</v>
      </c>
      <c r="K470" s="97" t="s">
        <v>78</v>
      </c>
      <c r="L470" s="98">
        <f>IF(I470="","",IF(J470="高",IF(K470="删除",I470*'模板使用说明&amp;基础参数'!$E$5*'模板使用说明&amp;基础参数'!$E$12,IF(K470="修改",I470*'模板使用说明&amp;基础参数'!$E$5*'模板使用说明&amp;基础参数'!$E$11,I470*'模板使用说明&amp;基础参数'!$E$5*'模板使用说明&amp;基础参数'!$E$10)),IF(J470="中",IF(K470="删除",I470*'模板使用说明&amp;基础参数'!$E$6*'模板使用说明&amp;基础参数'!$E$12,IF(K470="修改",I470*'模板使用说明&amp;基础参数'!$E$6*'模板使用说明&amp;基础参数'!$E$11,I470*'模板使用说明&amp;基础参数'!$E$6*'模板使用说明&amp;基础参数'!$E$10)),IF(K470="删除",I470*'模板使用说明&amp;基础参数'!$E$7*'模板使用说明&amp;基础参数'!$E$12,IF(K470="修改",I470*'模板使用说明&amp;基础参数'!$E$7*'模板使用说明&amp;基础参数'!$E$11,I470*'模板使用说明&amp;基础参数'!$E$7*'模板使用说明&amp;基础参数'!$E$10)))))</f>
        <v>1.06666666666667</v>
      </c>
      <c r="M470" s="95"/>
      <c r="N470" s="99"/>
      <c r="O470" s="100"/>
    </row>
    <row r="471" s="70" customFormat="1" ht="25" customHeight="1" spans="1:15">
      <c r="A471" s="93">
        <v>466</v>
      </c>
      <c r="B471" s="94" t="s">
        <v>72</v>
      </c>
      <c r="C471" s="95" t="s">
        <v>966</v>
      </c>
      <c r="D471" s="95" t="s">
        <v>967</v>
      </c>
      <c r="E471" s="95" t="s">
        <v>967</v>
      </c>
      <c r="F471" s="95" t="s">
        <v>1030</v>
      </c>
      <c r="G471" s="95" t="s">
        <v>1031</v>
      </c>
      <c r="H471" s="93" t="s">
        <v>77</v>
      </c>
      <c r="I471" s="96">
        <f>IF(H471="ILF",IF($C$1="预估功能点",'模板使用说明&amp;基础参数'!$E$15,7),IF(H471="EIF",IF($C$1="预估功能点",'模板使用说明&amp;基础参数'!$E$16,5),IF(H471="EI",IF($C$1="预估功能点",'模板使用说明&amp;基础参数'!$E$17,'模板使用说明&amp;基础参数'!$E$24),IF(H471="EO",IF($C$1="预估功能点",'模板使用说明&amp;基础参数'!$E$18,'模板使用说明&amp;基础参数'!$E$25),IF(H471="EQ",IF($C$1="预估功能点",'模板使用说明&amp;基础参数'!$E$19,'模板使用说明&amp;基础参数'!$E$26),"")))))</f>
        <v>7</v>
      </c>
      <c r="J471" s="97" t="s">
        <v>38</v>
      </c>
      <c r="K471" s="97" t="s">
        <v>78</v>
      </c>
      <c r="L471" s="98">
        <f>IF(I471="","",IF(J471="高",IF(K471="删除",I471*'模板使用说明&amp;基础参数'!$E$5*'模板使用说明&amp;基础参数'!$E$12,IF(K471="修改",I471*'模板使用说明&amp;基础参数'!$E$5*'模板使用说明&amp;基础参数'!$E$11,I471*'模板使用说明&amp;基础参数'!$E$5*'模板使用说明&amp;基础参数'!$E$10)),IF(J471="中",IF(K471="删除",I471*'模板使用说明&amp;基础参数'!$E$6*'模板使用说明&amp;基础参数'!$E$12,IF(K471="修改",I471*'模板使用说明&amp;基础参数'!$E$6*'模板使用说明&amp;基础参数'!$E$11,I471*'模板使用说明&amp;基础参数'!$E$6*'模板使用说明&amp;基础参数'!$E$10)),IF(K471="删除",I471*'模板使用说明&amp;基础参数'!$E$7*'模板使用说明&amp;基础参数'!$E$12,IF(K471="修改",I471*'模板使用说明&amp;基础参数'!$E$7*'模板使用说明&amp;基础参数'!$E$11,I471*'模板使用说明&amp;基础参数'!$E$7*'模板使用说明&amp;基础参数'!$E$10)))))</f>
        <v>1.86666666666666</v>
      </c>
      <c r="M471" s="95"/>
      <c r="N471" s="99"/>
      <c r="O471" s="100"/>
    </row>
    <row r="472" s="70" customFormat="1" ht="25" customHeight="1" spans="1:15">
      <c r="A472" s="93">
        <v>467</v>
      </c>
      <c r="B472" s="94" t="s">
        <v>72</v>
      </c>
      <c r="C472" s="95" t="s">
        <v>966</v>
      </c>
      <c r="D472" s="95" t="s">
        <v>967</v>
      </c>
      <c r="E472" s="95" t="s">
        <v>967</v>
      </c>
      <c r="F472" s="95" t="s">
        <v>1032</v>
      </c>
      <c r="G472" s="95" t="s">
        <v>1033</v>
      </c>
      <c r="H472" s="93" t="s">
        <v>81</v>
      </c>
      <c r="I472" s="96">
        <f>IF(H472="ILF",IF($C$1="预估功能点",'模板使用说明&amp;基础参数'!$E$15,7),IF(H472="EIF",IF($C$1="预估功能点",'模板使用说明&amp;基础参数'!$E$16,5),IF(H472="EI",IF($C$1="预估功能点",'模板使用说明&amp;基础参数'!$E$17,'模板使用说明&amp;基础参数'!$E$24),IF(H472="EO",IF($C$1="预估功能点",'模板使用说明&amp;基础参数'!$E$18,'模板使用说明&amp;基础参数'!$E$25),IF(H472="EQ",IF($C$1="预估功能点",'模板使用说明&amp;基础参数'!$E$19,'模板使用说明&amp;基础参数'!$E$26),"")))))</f>
        <v>4</v>
      </c>
      <c r="J472" s="97" t="s">
        <v>38</v>
      </c>
      <c r="K472" s="97" t="s">
        <v>78</v>
      </c>
      <c r="L472" s="98">
        <f>IF(I472="","",IF(J472="高",IF(K472="删除",I472*'模板使用说明&amp;基础参数'!$E$5*'模板使用说明&amp;基础参数'!$E$12,IF(K472="修改",I472*'模板使用说明&amp;基础参数'!$E$5*'模板使用说明&amp;基础参数'!$E$11,I472*'模板使用说明&amp;基础参数'!$E$5*'模板使用说明&amp;基础参数'!$E$10)),IF(J472="中",IF(K472="删除",I472*'模板使用说明&amp;基础参数'!$E$6*'模板使用说明&amp;基础参数'!$E$12,IF(K472="修改",I472*'模板使用说明&amp;基础参数'!$E$6*'模板使用说明&amp;基础参数'!$E$11,I472*'模板使用说明&amp;基础参数'!$E$6*'模板使用说明&amp;基础参数'!$E$10)),IF(K472="删除",I472*'模板使用说明&amp;基础参数'!$E$7*'模板使用说明&amp;基础参数'!$E$12,IF(K472="修改",I472*'模板使用说明&amp;基础参数'!$E$7*'模板使用说明&amp;基础参数'!$E$11,I472*'模板使用说明&amp;基础参数'!$E$7*'模板使用说明&amp;基础参数'!$E$10)))))</f>
        <v>1.06666666666667</v>
      </c>
      <c r="M472" s="95"/>
      <c r="N472" s="99"/>
      <c r="O472" s="100"/>
    </row>
    <row r="473" s="70" customFormat="1" ht="25" customHeight="1" spans="1:15">
      <c r="A473" s="93">
        <v>468</v>
      </c>
      <c r="B473" s="94" t="s">
        <v>72</v>
      </c>
      <c r="C473" s="95" t="s">
        <v>966</v>
      </c>
      <c r="D473" s="95" t="s">
        <v>967</v>
      </c>
      <c r="E473" s="95" t="s">
        <v>967</v>
      </c>
      <c r="F473" s="95" t="s">
        <v>1034</v>
      </c>
      <c r="G473" s="95" t="s">
        <v>1035</v>
      </c>
      <c r="H473" s="93" t="s">
        <v>84</v>
      </c>
      <c r="I473" s="96">
        <f>IF(H473="ILF",IF($C$1="预估功能点",'模板使用说明&amp;基础参数'!$E$15,7),IF(H473="EIF",IF($C$1="预估功能点",'模板使用说明&amp;基础参数'!$E$16,5),IF(H473="EI",IF($C$1="预估功能点",'模板使用说明&amp;基础参数'!$E$17,'模板使用说明&amp;基础参数'!$E$24),IF(H473="EO",IF($C$1="预估功能点",'模板使用说明&amp;基础参数'!$E$18,'模板使用说明&amp;基础参数'!$E$25),IF(H473="EQ",IF($C$1="预估功能点",'模板使用说明&amp;基础参数'!$E$19,'模板使用说明&amp;基础参数'!$E$26),"")))))</f>
        <v>4</v>
      </c>
      <c r="J473" s="97" t="s">
        <v>38</v>
      </c>
      <c r="K473" s="97" t="s">
        <v>78</v>
      </c>
      <c r="L473" s="98">
        <f>IF(I473="","",IF(J473="高",IF(K473="删除",I473*'模板使用说明&amp;基础参数'!$E$5*'模板使用说明&amp;基础参数'!$E$12,IF(K473="修改",I473*'模板使用说明&amp;基础参数'!$E$5*'模板使用说明&amp;基础参数'!$E$11,I473*'模板使用说明&amp;基础参数'!$E$5*'模板使用说明&amp;基础参数'!$E$10)),IF(J473="中",IF(K473="删除",I473*'模板使用说明&amp;基础参数'!$E$6*'模板使用说明&amp;基础参数'!$E$12,IF(K473="修改",I473*'模板使用说明&amp;基础参数'!$E$6*'模板使用说明&amp;基础参数'!$E$11,I473*'模板使用说明&amp;基础参数'!$E$6*'模板使用说明&amp;基础参数'!$E$10)),IF(K473="删除",I473*'模板使用说明&amp;基础参数'!$E$7*'模板使用说明&amp;基础参数'!$E$12,IF(K473="修改",I473*'模板使用说明&amp;基础参数'!$E$7*'模板使用说明&amp;基础参数'!$E$11,I473*'模板使用说明&amp;基础参数'!$E$7*'模板使用说明&amp;基础参数'!$E$10)))))</f>
        <v>1.06666666666667</v>
      </c>
      <c r="M473" s="95"/>
      <c r="N473" s="99"/>
      <c r="O473" s="100"/>
    </row>
    <row r="474" s="70" customFormat="1" ht="25" customHeight="1" spans="1:15">
      <c r="A474" s="93">
        <v>469</v>
      </c>
      <c r="B474" s="94" t="s">
        <v>72</v>
      </c>
      <c r="C474" s="95" t="s">
        <v>966</v>
      </c>
      <c r="D474" s="95" t="s">
        <v>967</v>
      </c>
      <c r="E474" s="95" t="s">
        <v>967</v>
      </c>
      <c r="F474" s="95" t="s">
        <v>1036</v>
      </c>
      <c r="G474" s="95" t="s">
        <v>1037</v>
      </c>
      <c r="H474" s="93" t="s">
        <v>84</v>
      </c>
      <c r="I474" s="96">
        <f>IF(H474="ILF",IF($C$1="预估功能点",'模板使用说明&amp;基础参数'!$E$15,7),IF(H474="EIF",IF($C$1="预估功能点",'模板使用说明&amp;基础参数'!$E$16,5),IF(H474="EI",IF($C$1="预估功能点",'模板使用说明&amp;基础参数'!$E$17,'模板使用说明&amp;基础参数'!$E$24),IF(H474="EO",IF($C$1="预估功能点",'模板使用说明&amp;基础参数'!$E$18,'模板使用说明&amp;基础参数'!$E$25),IF(H474="EQ",IF($C$1="预估功能点",'模板使用说明&amp;基础参数'!$E$19,'模板使用说明&amp;基础参数'!$E$26),"")))))</f>
        <v>4</v>
      </c>
      <c r="J474" s="97" t="s">
        <v>38</v>
      </c>
      <c r="K474" s="97" t="s">
        <v>78</v>
      </c>
      <c r="L474" s="98">
        <f>IF(I474="","",IF(J474="高",IF(K474="删除",I474*'模板使用说明&amp;基础参数'!$E$5*'模板使用说明&amp;基础参数'!$E$12,IF(K474="修改",I474*'模板使用说明&amp;基础参数'!$E$5*'模板使用说明&amp;基础参数'!$E$11,I474*'模板使用说明&amp;基础参数'!$E$5*'模板使用说明&amp;基础参数'!$E$10)),IF(J474="中",IF(K474="删除",I474*'模板使用说明&amp;基础参数'!$E$6*'模板使用说明&amp;基础参数'!$E$12,IF(K474="修改",I474*'模板使用说明&amp;基础参数'!$E$6*'模板使用说明&amp;基础参数'!$E$11,I474*'模板使用说明&amp;基础参数'!$E$6*'模板使用说明&amp;基础参数'!$E$10)),IF(K474="删除",I474*'模板使用说明&amp;基础参数'!$E$7*'模板使用说明&amp;基础参数'!$E$12,IF(K474="修改",I474*'模板使用说明&amp;基础参数'!$E$7*'模板使用说明&amp;基础参数'!$E$11,I474*'模板使用说明&amp;基础参数'!$E$7*'模板使用说明&amp;基础参数'!$E$10)))))</f>
        <v>1.06666666666667</v>
      </c>
      <c r="M474" s="95"/>
      <c r="N474" s="99"/>
      <c r="O474" s="100"/>
    </row>
    <row r="475" s="70" customFormat="1" ht="25" customHeight="1" spans="1:15">
      <c r="A475" s="93">
        <v>470</v>
      </c>
      <c r="B475" s="94" t="s">
        <v>72</v>
      </c>
      <c r="C475" s="95" t="s">
        <v>966</v>
      </c>
      <c r="D475" s="95" t="s">
        <v>967</v>
      </c>
      <c r="E475" s="95" t="s">
        <v>967</v>
      </c>
      <c r="F475" s="95" t="s">
        <v>1038</v>
      </c>
      <c r="G475" s="95" t="s">
        <v>1039</v>
      </c>
      <c r="H475" s="93" t="s">
        <v>84</v>
      </c>
      <c r="I475" s="96">
        <f>IF(H475="ILF",IF($C$1="预估功能点",'模板使用说明&amp;基础参数'!$E$15,7),IF(H475="EIF",IF($C$1="预估功能点",'模板使用说明&amp;基础参数'!$E$16,5),IF(H475="EI",IF($C$1="预估功能点",'模板使用说明&amp;基础参数'!$E$17,'模板使用说明&amp;基础参数'!$E$24),IF(H475="EO",IF($C$1="预估功能点",'模板使用说明&amp;基础参数'!$E$18,'模板使用说明&amp;基础参数'!$E$25),IF(H475="EQ",IF($C$1="预估功能点",'模板使用说明&amp;基础参数'!$E$19,'模板使用说明&amp;基础参数'!$E$26),"")))))</f>
        <v>4</v>
      </c>
      <c r="J475" s="97" t="s">
        <v>38</v>
      </c>
      <c r="K475" s="97" t="s">
        <v>78</v>
      </c>
      <c r="L475" s="98">
        <f>IF(I475="","",IF(J475="高",IF(K475="删除",I475*'模板使用说明&amp;基础参数'!$E$5*'模板使用说明&amp;基础参数'!$E$12,IF(K475="修改",I475*'模板使用说明&amp;基础参数'!$E$5*'模板使用说明&amp;基础参数'!$E$11,I475*'模板使用说明&amp;基础参数'!$E$5*'模板使用说明&amp;基础参数'!$E$10)),IF(J475="中",IF(K475="删除",I475*'模板使用说明&amp;基础参数'!$E$6*'模板使用说明&amp;基础参数'!$E$12,IF(K475="修改",I475*'模板使用说明&amp;基础参数'!$E$6*'模板使用说明&amp;基础参数'!$E$11,I475*'模板使用说明&amp;基础参数'!$E$6*'模板使用说明&amp;基础参数'!$E$10)),IF(K475="删除",I475*'模板使用说明&amp;基础参数'!$E$7*'模板使用说明&amp;基础参数'!$E$12,IF(K475="修改",I475*'模板使用说明&amp;基础参数'!$E$7*'模板使用说明&amp;基础参数'!$E$11,I475*'模板使用说明&amp;基础参数'!$E$7*'模板使用说明&amp;基础参数'!$E$10)))))</f>
        <v>1.06666666666667</v>
      </c>
      <c r="M475" s="95"/>
      <c r="N475" s="99"/>
      <c r="O475" s="100"/>
    </row>
    <row r="476" s="70" customFormat="1" ht="25" customHeight="1" spans="1:15">
      <c r="A476" s="93">
        <v>471</v>
      </c>
      <c r="B476" s="94" t="s">
        <v>72</v>
      </c>
      <c r="C476" s="95" t="s">
        <v>966</v>
      </c>
      <c r="D476" s="95" t="s">
        <v>967</v>
      </c>
      <c r="E476" s="95" t="s">
        <v>967</v>
      </c>
      <c r="F476" s="95" t="s">
        <v>1040</v>
      </c>
      <c r="G476" s="95" t="s">
        <v>1041</v>
      </c>
      <c r="H476" s="93" t="s">
        <v>77</v>
      </c>
      <c r="I476" s="96">
        <f>IF(H476="ILF",IF($C$1="预估功能点",'模板使用说明&amp;基础参数'!$E$15,7),IF(H476="EIF",IF($C$1="预估功能点",'模板使用说明&amp;基础参数'!$E$16,5),IF(H476="EI",IF($C$1="预估功能点",'模板使用说明&amp;基础参数'!$E$17,'模板使用说明&amp;基础参数'!$E$24),IF(H476="EO",IF($C$1="预估功能点",'模板使用说明&amp;基础参数'!$E$18,'模板使用说明&amp;基础参数'!$E$25),IF(H476="EQ",IF($C$1="预估功能点",'模板使用说明&amp;基础参数'!$E$19,'模板使用说明&amp;基础参数'!$E$26),"")))))</f>
        <v>7</v>
      </c>
      <c r="J476" s="97" t="s">
        <v>38</v>
      </c>
      <c r="K476" s="97" t="s">
        <v>78</v>
      </c>
      <c r="L476" s="98">
        <f>IF(I476="","",IF(J476="高",IF(K476="删除",I476*'模板使用说明&amp;基础参数'!$E$5*'模板使用说明&amp;基础参数'!$E$12,IF(K476="修改",I476*'模板使用说明&amp;基础参数'!$E$5*'模板使用说明&amp;基础参数'!$E$11,I476*'模板使用说明&amp;基础参数'!$E$5*'模板使用说明&amp;基础参数'!$E$10)),IF(J476="中",IF(K476="删除",I476*'模板使用说明&amp;基础参数'!$E$6*'模板使用说明&amp;基础参数'!$E$12,IF(K476="修改",I476*'模板使用说明&amp;基础参数'!$E$6*'模板使用说明&amp;基础参数'!$E$11,I476*'模板使用说明&amp;基础参数'!$E$6*'模板使用说明&amp;基础参数'!$E$10)),IF(K476="删除",I476*'模板使用说明&amp;基础参数'!$E$7*'模板使用说明&amp;基础参数'!$E$12,IF(K476="修改",I476*'模板使用说明&amp;基础参数'!$E$7*'模板使用说明&amp;基础参数'!$E$11,I476*'模板使用说明&amp;基础参数'!$E$7*'模板使用说明&amp;基础参数'!$E$10)))))</f>
        <v>1.86666666666666</v>
      </c>
      <c r="M476" s="95"/>
      <c r="N476" s="99"/>
      <c r="O476" s="100"/>
    </row>
    <row r="477" s="70" customFormat="1" ht="25" customHeight="1" spans="1:15">
      <c r="A477" s="93">
        <v>472</v>
      </c>
      <c r="B477" s="94" t="s">
        <v>72</v>
      </c>
      <c r="C477" s="95" t="s">
        <v>966</v>
      </c>
      <c r="D477" s="95" t="s">
        <v>967</v>
      </c>
      <c r="E477" s="95" t="s">
        <v>967</v>
      </c>
      <c r="F477" s="95" t="s">
        <v>1042</v>
      </c>
      <c r="G477" s="95" t="s">
        <v>1043</v>
      </c>
      <c r="H477" s="93" t="s">
        <v>81</v>
      </c>
      <c r="I477" s="96">
        <f>IF(H477="ILF",IF($C$1="预估功能点",'模板使用说明&amp;基础参数'!$E$15,7),IF(H477="EIF",IF($C$1="预估功能点",'模板使用说明&amp;基础参数'!$E$16,5),IF(H477="EI",IF($C$1="预估功能点",'模板使用说明&amp;基础参数'!$E$17,'模板使用说明&amp;基础参数'!$E$24),IF(H477="EO",IF($C$1="预估功能点",'模板使用说明&amp;基础参数'!$E$18,'模板使用说明&amp;基础参数'!$E$25),IF(H477="EQ",IF($C$1="预估功能点",'模板使用说明&amp;基础参数'!$E$19,'模板使用说明&amp;基础参数'!$E$26),"")))))</f>
        <v>4</v>
      </c>
      <c r="J477" s="97" t="s">
        <v>38</v>
      </c>
      <c r="K477" s="97" t="s">
        <v>78</v>
      </c>
      <c r="L477" s="98">
        <f>IF(I477="","",IF(J477="高",IF(K477="删除",I477*'模板使用说明&amp;基础参数'!$E$5*'模板使用说明&amp;基础参数'!$E$12,IF(K477="修改",I477*'模板使用说明&amp;基础参数'!$E$5*'模板使用说明&amp;基础参数'!$E$11,I477*'模板使用说明&amp;基础参数'!$E$5*'模板使用说明&amp;基础参数'!$E$10)),IF(J477="中",IF(K477="删除",I477*'模板使用说明&amp;基础参数'!$E$6*'模板使用说明&amp;基础参数'!$E$12,IF(K477="修改",I477*'模板使用说明&amp;基础参数'!$E$6*'模板使用说明&amp;基础参数'!$E$11,I477*'模板使用说明&amp;基础参数'!$E$6*'模板使用说明&amp;基础参数'!$E$10)),IF(K477="删除",I477*'模板使用说明&amp;基础参数'!$E$7*'模板使用说明&amp;基础参数'!$E$12,IF(K477="修改",I477*'模板使用说明&amp;基础参数'!$E$7*'模板使用说明&amp;基础参数'!$E$11,I477*'模板使用说明&amp;基础参数'!$E$7*'模板使用说明&amp;基础参数'!$E$10)))))</f>
        <v>1.06666666666667</v>
      </c>
      <c r="M477" s="95"/>
      <c r="N477" s="99"/>
      <c r="O477" s="100"/>
    </row>
    <row r="478" s="70" customFormat="1" ht="25" customHeight="1" spans="1:15">
      <c r="A478" s="93">
        <v>473</v>
      </c>
      <c r="B478" s="94" t="s">
        <v>72</v>
      </c>
      <c r="C478" s="95" t="s">
        <v>966</v>
      </c>
      <c r="D478" s="95" t="s">
        <v>967</v>
      </c>
      <c r="E478" s="95" t="s">
        <v>967</v>
      </c>
      <c r="F478" s="95" t="s">
        <v>1044</v>
      </c>
      <c r="G478" s="95" t="s">
        <v>1045</v>
      </c>
      <c r="H478" s="93" t="s">
        <v>84</v>
      </c>
      <c r="I478" s="96">
        <f>IF(H478="ILF",IF($C$1="预估功能点",'模板使用说明&amp;基础参数'!$E$15,7),IF(H478="EIF",IF($C$1="预估功能点",'模板使用说明&amp;基础参数'!$E$16,5),IF(H478="EI",IF($C$1="预估功能点",'模板使用说明&amp;基础参数'!$E$17,'模板使用说明&amp;基础参数'!$E$24),IF(H478="EO",IF($C$1="预估功能点",'模板使用说明&amp;基础参数'!$E$18,'模板使用说明&amp;基础参数'!$E$25),IF(H478="EQ",IF($C$1="预估功能点",'模板使用说明&amp;基础参数'!$E$19,'模板使用说明&amp;基础参数'!$E$26),"")))))</f>
        <v>4</v>
      </c>
      <c r="J478" s="97" t="s">
        <v>38</v>
      </c>
      <c r="K478" s="97" t="s">
        <v>78</v>
      </c>
      <c r="L478" s="98">
        <f>IF(I478="","",IF(J478="高",IF(K478="删除",I478*'模板使用说明&amp;基础参数'!$E$5*'模板使用说明&amp;基础参数'!$E$12,IF(K478="修改",I478*'模板使用说明&amp;基础参数'!$E$5*'模板使用说明&amp;基础参数'!$E$11,I478*'模板使用说明&amp;基础参数'!$E$5*'模板使用说明&amp;基础参数'!$E$10)),IF(J478="中",IF(K478="删除",I478*'模板使用说明&amp;基础参数'!$E$6*'模板使用说明&amp;基础参数'!$E$12,IF(K478="修改",I478*'模板使用说明&amp;基础参数'!$E$6*'模板使用说明&amp;基础参数'!$E$11,I478*'模板使用说明&amp;基础参数'!$E$6*'模板使用说明&amp;基础参数'!$E$10)),IF(K478="删除",I478*'模板使用说明&amp;基础参数'!$E$7*'模板使用说明&amp;基础参数'!$E$12,IF(K478="修改",I478*'模板使用说明&amp;基础参数'!$E$7*'模板使用说明&amp;基础参数'!$E$11,I478*'模板使用说明&amp;基础参数'!$E$7*'模板使用说明&amp;基础参数'!$E$10)))))</f>
        <v>1.06666666666667</v>
      </c>
      <c r="M478" s="95"/>
      <c r="N478" s="99"/>
      <c r="O478" s="100"/>
    </row>
    <row r="479" s="70" customFormat="1" ht="25" customHeight="1" spans="1:15">
      <c r="A479" s="93">
        <v>474</v>
      </c>
      <c r="B479" s="94" t="s">
        <v>72</v>
      </c>
      <c r="C479" s="95" t="s">
        <v>966</v>
      </c>
      <c r="D479" s="95" t="s">
        <v>967</v>
      </c>
      <c r="E479" s="95" t="s">
        <v>967</v>
      </c>
      <c r="F479" s="95" t="s">
        <v>1046</v>
      </c>
      <c r="G479" s="95" t="s">
        <v>1047</v>
      </c>
      <c r="H479" s="93" t="s">
        <v>84</v>
      </c>
      <c r="I479" s="96">
        <f>IF(H479="ILF",IF($C$1="预估功能点",'模板使用说明&amp;基础参数'!$E$15,7),IF(H479="EIF",IF($C$1="预估功能点",'模板使用说明&amp;基础参数'!$E$16,5),IF(H479="EI",IF($C$1="预估功能点",'模板使用说明&amp;基础参数'!$E$17,'模板使用说明&amp;基础参数'!$E$24),IF(H479="EO",IF($C$1="预估功能点",'模板使用说明&amp;基础参数'!$E$18,'模板使用说明&amp;基础参数'!$E$25),IF(H479="EQ",IF($C$1="预估功能点",'模板使用说明&amp;基础参数'!$E$19,'模板使用说明&amp;基础参数'!$E$26),"")))))</f>
        <v>4</v>
      </c>
      <c r="J479" s="97" t="s">
        <v>38</v>
      </c>
      <c r="K479" s="97" t="s">
        <v>78</v>
      </c>
      <c r="L479" s="98">
        <f>IF(I479="","",IF(J479="高",IF(K479="删除",I479*'模板使用说明&amp;基础参数'!$E$5*'模板使用说明&amp;基础参数'!$E$12,IF(K479="修改",I479*'模板使用说明&amp;基础参数'!$E$5*'模板使用说明&amp;基础参数'!$E$11,I479*'模板使用说明&amp;基础参数'!$E$5*'模板使用说明&amp;基础参数'!$E$10)),IF(J479="中",IF(K479="删除",I479*'模板使用说明&amp;基础参数'!$E$6*'模板使用说明&amp;基础参数'!$E$12,IF(K479="修改",I479*'模板使用说明&amp;基础参数'!$E$6*'模板使用说明&amp;基础参数'!$E$11,I479*'模板使用说明&amp;基础参数'!$E$6*'模板使用说明&amp;基础参数'!$E$10)),IF(K479="删除",I479*'模板使用说明&amp;基础参数'!$E$7*'模板使用说明&amp;基础参数'!$E$12,IF(K479="修改",I479*'模板使用说明&amp;基础参数'!$E$7*'模板使用说明&amp;基础参数'!$E$11,I479*'模板使用说明&amp;基础参数'!$E$7*'模板使用说明&amp;基础参数'!$E$10)))))</f>
        <v>1.06666666666667</v>
      </c>
      <c r="M479" s="95"/>
      <c r="N479" s="99"/>
      <c r="O479" s="100"/>
    </row>
    <row r="480" s="70" customFormat="1" ht="25" customHeight="1" spans="1:15">
      <c r="A480" s="93">
        <v>475</v>
      </c>
      <c r="B480" s="94" t="s">
        <v>72</v>
      </c>
      <c r="C480" s="95" t="s">
        <v>966</v>
      </c>
      <c r="D480" s="95" t="s">
        <v>967</v>
      </c>
      <c r="E480" s="95" t="s">
        <v>967</v>
      </c>
      <c r="F480" s="95" t="s">
        <v>1048</v>
      </c>
      <c r="G480" s="95" t="s">
        <v>1049</v>
      </c>
      <c r="H480" s="93" t="s">
        <v>84</v>
      </c>
      <c r="I480" s="96">
        <f>IF(H480="ILF",IF($C$1="预估功能点",'模板使用说明&amp;基础参数'!$E$15,7),IF(H480="EIF",IF($C$1="预估功能点",'模板使用说明&amp;基础参数'!$E$16,5),IF(H480="EI",IF($C$1="预估功能点",'模板使用说明&amp;基础参数'!$E$17,'模板使用说明&amp;基础参数'!$E$24),IF(H480="EO",IF($C$1="预估功能点",'模板使用说明&amp;基础参数'!$E$18,'模板使用说明&amp;基础参数'!$E$25),IF(H480="EQ",IF($C$1="预估功能点",'模板使用说明&amp;基础参数'!$E$19,'模板使用说明&amp;基础参数'!$E$26),"")))))</f>
        <v>4</v>
      </c>
      <c r="J480" s="97" t="s">
        <v>38</v>
      </c>
      <c r="K480" s="97" t="s">
        <v>78</v>
      </c>
      <c r="L480" s="98">
        <f>IF(I480="","",IF(J480="高",IF(K480="删除",I480*'模板使用说明&amp;基础参数'!$E$5*'模板使用说明&amp;基础参数'!$E$12,IF(K480="修改",I480*'模板使用说明&amp;基础参数'!$E$5*'模板使用说明&amp;基础参数'!$E$11,I480*'模板使用说明&amp;基础参数'!$E$5*'模板使用说明&amp;基础参数'!$E$10)),IF(J480="中",IF(K480="删除",I480*'模板使用说明&amp;基础参数'!$E$6*'模板使用说明&amp;基础参数'!$E$12,IF(K480="修改",I480*'模板使用说明&amp;基础参数'!$E$6*'模板使用说明&amp;基础参数'!$E$11,I480*'模板使用说明&amp;基础参数'!$E$6*'模板使用说明&amp;基础参数'!$E$10)),IF(K480="删除",I480*'模板使用说明&amp;基础参数'!$E$7*'模板使用说明&amp;基础参数'!$E$12,IF(K480="修改",I480*'模板使用说明&amp;基础参数'!$E$7*'模板使用说明&amp;基础参数'!$E$11,I480*'模板使用说明&amp;基础参数'!$E$7*'模板使用说明&amp;基础参数'!$E$10)))))</f>
        <v>1.06666666666667</v>
      </c>
      <c r="M480" s="95"/>
      <c r="N480" s="99"/>
      <c r="O480" s="100"/>
    </row>
    <row r="481" s="70" customFormat="1" ht="25" customHeight="1" spans="1:15">
      <c r="A481" s="93">
        <v>476</v>
      </c>
      <c r="B481" s="94" t="s">
        <v>72</v>
      </c>
      <c r="C481" s="95" t="s">
        <v>1050</v>
      </c>
      <c r="D481" s="95" t="s">
        <v>1051</v>
      </c>
      <c r="E481" s="95" t="s">
        <v>1051</v>
      </c>
      <c r="F481" s="95" t="s">
        <v>1052</v>
      </c>
      <c r="G481" s="95" t="s">
        <v>1053</v>
      </c>
      <c r="H481" s="93" t="s">
        <v>77</v>
      </c>
      <c r="I481" s="96">
        <f>IF(H481="ILF",IF($C$1="预估功能点",'模板使用说明&amp;基础参数'!$E$15,7),IF(H481="EIF",IF($C$1="预估功能点",'模板使用说明&amp;基础参数'!$E$16,5),IF(H481="EI",IF($C$1="预估功能点",'模板使用说明&amp;基础参数'!$E$17,'模板使用说明&amp;基础参数'!$E$24),IF(H481="EO",IF($C$1="预估功能点",'模板使用说明&amp;基础参数'!$E$18,'模板使用说明&amp;基础参数'!$E$25),IF(H481="EQ",IF($C$1="预估功能点",'模板使用说明&amp;基础参数'!$E$19,'模板使用说明&amp;基础参数'!$E$26),"")))))</f>
        <v>7</v>
      </c>
      <c r="J481" s="97" t="s">
        <v>38</v>
      </c>
      <c r="K481" s="97" t="s">
        <v>78</v>
      </c>
      <c r="L481" s="98">
        <f>IF(I481="","",IF(J481="高",IF(K481="删除",I481*'模板使用说明&amp;基础参数'!$E$5*'模板使用说明&amp;基础参数'!$E$12,IF(K481="修改",I481*'模板使用说明&amp;基础参数'!$E$5*'模板使用说明&amp;基础参数'!$E$11,I481*'模板使用说明&amp;基础参数'!$E$5*'模板使用说明&amp;基础参数'!$E$10)),IF(J481="中",IF(K481="删除",I481*'模板使用说明&amp;基础参数'!$E$6*'模板使用说明&amp;基础参数'!$E$12,IF(K481="修改",I481*'模板使用说明&amp;基础参数'!$E$6*'模板使用说明&amp;基础参数'!$E$11,I481*'模板使用说明&amp;基础参数'!$E$6*'模板使用说明&amp;基础参数'!$E$10)),IF(K481="删除",I481*'模板使用说明&amp;基础参数'!$E$7*'模板使用说明&amp;基础参数'!$E$12,IF(K481="修改",I481*'模板使用说明&amp;基础参数'!$E$7*'模板使用说明&amp;基础参数'!$E$11,I481*'模板使用说明&amp;基础参数'!$E$7*'模板使用说明&amp;基础参数'!$E$10)))))</f>
        <v>1.86666666666666</v>
      </c>
      <c r="M481" s="95"/>
      <c r="N481" s="99"/>
      <c r="O481" s="100"/>
    </row>
    <row r="482" s="70" customFormat="1" ht="25" customHeight="1" spans="1:15">
      <c r="A482" s="93">
        <v>477</v>
      </c>
      <c r="B482" s="94" t="s">
        <v>72</v>
      </c>
      <c r="C482" s="95" t="s">
        <v>1050</v>
      </c>
      <c r="D482" s="95" t="s">
        <v>1051</v>
      </c>
      <c r="E482" s="95" t="s">
        <v>1051</v>
      </c>
      <c r="F482" s="95" t="s">
        <v>1054</v>
      </c>
      <c r="G482" s="95" t="s">
        <v>1055</v>
      </c>
      <c r="H482" s="93" t="s">
        <v>81</v>
      </c>
      <c r="I482" s="96">
        <f>IF(H482="ILF",IF($C$1="预估功能点",'模板使用说明&amp;基础参数'!$E$15,7),IF(H482="EIF",IF($C$1="预估功能点",'模板使用说明&amp;基础参数'!$E$16,5),IF(H482="EI",IF($C$1="预估功能点",'模板使用说明&amp;基础参数'!$E$17,'模板使用说明&amp;基础参数'!$E$24),IF(H482="EO",IF($C$1="预估功能点",'模板使用说明&amp;基础参数'!$E$18,'模板使用说明&amp;基础参数'!$E$25),IF(H482="EQ",IF($C$1="预估功能点",'模板使用说明&amp;基础参数'!$E$19,'模板使用说明&amp;基础参数'!$E$26),"")))))</f>
        <v>4</v>
      </c>
      <c r="J482" s="97" t="s">
        <v>38</v>
      </c>
      <c r="K482" s="97" t="s">
        <v>78</v>
      </c>
      <c r="L482" s="98">
        <f>IF(I482="","",IF(J482="高",IF(K482="删除",I482*'模板使用说明&amp;基础参数'!$E$5*'模板使用说明&amp;基础参数'!$E$12,IF(K482="修改",I482*'模板使用说明&amp;基础参数'!$E$5*'模板使用说明&amp;基础参数'!$E$11,I482*'模板使用说明&amp;基础参数'!$E$5*'模板使用说明&amp;基础参数'!$E$10)),IF(J482="中",IF(K482="删除",I482*'模板使用说明&amp;基础参数'!$E$6*'模板使用说明&amp;基础参数'!$E$12,IF(K482="修改",I482*'模板使用说明&amp;基础参数'!$E$6*'模板使用说明&amp;基础参数'!$E$11,I482*'模板使用说明&amp;基础参数'!$E$6*'模板使用说明&amp;基础参数'!$E$10)),IF(K482="删除",I482*'模板使用说明&amp;基础参数'!$E$7*'模板使用说明&amp;基础参数'!$E$12,IF(K482="修改",I482*'模板使用说明&amp;基础参数'!$E$7*'模板使用说明&amp;基础参数'!$E$11,I482*'模板使用说明&amp;基础参数'!$E$7*'模板使用说明&amp;基础参数'!$E$10)))))</f>
        <v>1.06666666666667</v>
      </c>
      <c r="M482" s="95"/>
      <c r="N482" s="99"/>
      <c r="O482" s="100"/>
    </row>
    <row r="483" s="70" customFormat="1" ht="25" customHeight="1" spans="1:15">
      <c r="A483" s="93">
        <v>478</v>
      </c>
      <c r="B483" s="94" t="s">
        <v>72</v>
      </c>
      <c r="C483" s="95" t="s">
        <v>1050</v>
      </c>
      <c r="D483" s="95" t="s">
        <v>1051</v>
      </c>
      <c r="E483" s="95" t="s">
        <v>1051</v>
      </c>
      <c r="F483" s="95" t="s">
        <v>1056</v>
      </c>
      <c r="G483" s="95" t="s">
        <v>1057</v>
      </c>
      <c r="H483" s="93" t="s">
        <v>84</v>
      </c>
      <c r="I483" s="96">
        <f>IF(H483="ILF",IF($C$1="预估功能点",'模板使用说明&amp;基础参数'!$E$15,7),IF(H483="EIF",IF($C$1="预估功能点",'模板使用说明&amp;基础参数'!$E$16,5),IF(H483="EI",IF($C$1="预估功能点",'模板使用说明&amp;基础参数'!$E$17,'模板使用说明&amp;基础参数'!$E$24),IF(H483="EO",IF($C$1="预估功能点",'模板使用说明&amp;基础参数'!$E$18,'模板使用说明&amp;基础参数'!$E$25),IF(H483="EQ",IF($C$1="预估功能点",'模板使用说明&amp;基础参数'!$E$19,'模板使用说明&amp;基础参数'!$E$26),"")))))</f>
        <v>4</v>
      </c>
      <c r="J483" s="97" t="s">
        <v>38</v>
      </c>
      <c r="K483" s="97" t="s">
        <v>78</v>
      </c>
      <c r="L483" s="98">
        <f>IF(I483="","",IF(J483="高",IF(K483="删除",I483*'模板使用说明&amp;基础参数'!$E$5*'模板使用说明&amp;基础参数'!$E$12,IF(K483="修改",I483*'模板使用说明&amp;基础参数'!$E$5*'模板使用说明&amp;基础参数'!$E$11,I483*'模板使用说明&amp;基础参数'!$E$5*'模板使用说明&amp;基础参数'!$E$10)),IF(J483="中",IF(K483="删除",I483*'模板使用说明&amp;基础参数'!$E$6*'模板使用说明&amp;基础参数'!$E$12,IF(K483="修改",I483*'模板使用说明&amp;基础参数'!$E$6*'模板使用说明&amp;基础参数'!$E$11,I483*'模板使用说明&amp;基础参数'!$E$6*'模板使用说明&amp;基础参数'!$E$10)),IF(K483="删除",I483*'模板使用说明&amp;基础参数'!$E$7*'模板使用说明&amp;基础参数'!$E$12,IF(K483="修改",I483*'模板使用说明&amp;基础参数'!$E$7*'模板使用说明&amp;基础参数'!$E$11,I483*'模板使用说明&amp;基础参数'!$E$7*'模板使用说明&amp;基础参数'!$E$10)))))</f>
        <v>1.06666666666667</v>
      </c>
      <c r="M483" s="95"/>
      <c r="N483" s="99"/>
      <c r="O483" s="100"/>
    </row>
    <row r="484" s="70" customFormat="1" ht="25" customHeight="1" spans="1:15">
      <c r="A484" s="93">
        <v>479</v>
      </c>
      <c r="B484" s="94" t="s">
        <v>72</v>
      </c>
      <c r="C484" s="95" t="s">
        <v>1050</v>
      </c>
      <c r="D484" s="95" t="s">
        <v>1051</v>
      </c>
      <c r="E484" s="95" t="s">
        <v>1051</v>
      </c>
      <c r="F484" s="95" t="s">
        <v>1058</v>
      </c>
      <c r="G484" s="95" t="s">
        <v>1059</v>
      </c>
      <c r="H484" s="93" t="s">
        <v>84</v>
      </c>
      <c r="I484" s="96">
        <f>IF(H484="ILF",IF($C$1="预估功能点",'模板使用说明&amp;基础参数'!$E$15,7),IF(H484="EIF",IF($C$1="预估功能点",'模板使用说明&amp;基础参数'!$E$16,5),IF(H484="EI",IF($C$1="预估功能点",'模板使用说明&amp;基础参数'!$E$17,'模板使用说明&amp;基础参数'!$E$24),IF(H484="EO",IF($C$1="预估功能点",'模板使用说明&amp;基础参数'!$E$18,'模板使用说明&amp;基础参数'!$E$25),IF(H484="EQ",IF($C$1="预估功能点",'模板使用说明&amp;基础参数'!$E$19,'模板使用说明&amp;基础参数'!$E$26),"")))))</f>
        <v>4</v>
      </c>
      <c r="J484" s="97" t="s">
        <v>38</v>
      </c>
      <c r="K484" s="97" t="s">
        <v>78</v>
      </c>
      <c r="L484" s="98">
        <f>IF(I484="","",IF(J484="高",IF(K484="删除",I484*'模板使用说明&amp;基础参数'!$E$5*'模板使用说明&amp;基础参数'!$E$12,IF(K484="修改",I484*'模板使用说明&amp;基础参数'!$E$5*'模板使用说明&amp;基础参数'!$E$11,I484*'模板使用说明&amp;基础参数'!$E$5*'模板使用说明&amp;基础参数'!$E$10)),IF(J484="中",IF(K484="删除",I484*'模板使用说明&amp;基础参数'!$E$6*'模板使用说明&amp;基础参数'!$E$12,IF(K484="修改",I484*'模板使用说明&amp;基础参数'!$E$6*'模板使用说明&amp;基础参数'!$E$11,I484*'模板使用说明&amp;基础参数'!$E$6*'模板使用说明&amp;基础参数'!$E$10)),IF(K484="删除",I484*'模板使用说明&amp;基础参数'!$E$7*'模板使用说明&amp;基础参数'!$E$12,IF(K484="修改",I484*'模板使用说明&amp;基础参数'!$E$7*'模板使用说明&amp;基础参数'!$E$11,I484*'模板使用说明&amp;基础参数'!$E$7*'模板使用说明&amp;基础参数'!$E$10)))))</f>
        <v>1.06666666666667</v>
      </c>
      <c r="M484" s="95"/>
      <c r="N484" s="99"/>
      <c r="O484" s="100"/>
    </row>
    <row r="485" s="70" customFormat="1" ht="25" customHeight="1" spans="1:15">
      <c r="A485" s="93">
        <v>480</v>
      </c>
      <c r="B485" s="94" t="s">
        <v>72</v>
      </c>
      <c r="C485" s="95" t="s">
        <v>1050</v>
      </c>
      <c r="D485" s="95" t="s">
        <v>1051</v>
      </c>
      <c r="E485" s="95" t="s">
        <v>1051</v>
      </c>
      <c r="F485" s="95" t="s">
        <v>1060</v>
      </c>
      <c r="G485" s="95" t="s">
        <v>1061</v>
      </c>
      <c r="H485" s="93" t="s">
        <v>84</v>
      </c>
      <c r="I485" s="96">
        <f>IF(H485="ILF",IF($C$1="预估功能点",'模板使用说明&amp;基础参数'!$E$15,7),IF(H485="EIF",IF($C$1="预估功能点",'模板使用说明&amp;基础参数'!$E$16,5),IF(H485="EI",IF($C$1="预估功能点",'模板使用说明&amp;基础参数'!$E$17,'模板使用说明&amp;基础参数'!$E$24),IF(H485="EO",IF($C$1="预估功能点",'模板使用说明&amp;基础参数'!$E$18,'模板使用说明&amp;基础参数'!$E$25),IF(H485="EQ",IF($C$1="预估功能点",'模板使用说明&amp;基础参数'!$E$19,'模板使用说明&amp;基础参数'!$E$26),"")))))</f>
        <v>4</v>
      </c>
      <c r="J485" s="97" t="s">
        <v>38</v>
      </c>
      <c r="K485" s="97" t="s">
        <v>78</v>
      </c>
      <c r="L485" s="98">
        <f>IF(I485="","",IF(J485="高",IF(K485="删除",I485*'模板使用说明&amp;基础参数'!$E$5*'模板使用说明&amp;基础参数'!$E$12,IF(K485="修改",I485*'模板使用说明&amp;基础参数'!$E$5*'模板使用说明&amp;基础参数'!$E$11,I485*'模板使用说明&amp;基础参数'!$E$5*'模板使用说明&amp;基础参数'!$E$10)),IF(J485="中",IF(K485="删除",I485*'模板使用说明&amp;基础参数'!$E$6*'模板使用说明&amp;基础参数'!$E$12,IF(K485="修改",I485*'模板使用说明&amp;基础参数'!$E$6*'模板使用说明&amp;基础参数'!$E$11,I485*'模板使用说明&amp;基础参数'!$E$6*'模板使用说明&amp;基础参数'!$E$10)),IF(K485="删除",I485*'模板使用说明&amp;基础参数'!$E$7*'模板使用说明&amp;基础参数'!$E$12,IF(K485="修改",I485*'模板使用说明&amp;基础参数'!$E$7*'模板使用说明&amp;基础参数'!$E$11,I485*'模板使用说明&amp;基础参数'!$E$7*'模板使用说明&amp;基础参数'!$E$10)))))</f>
        <v>1.06666666666667</v>
      </c>
      <c r="M485" s="95"/>
      <c r="N485" s="99"/>
      <c r="O485" s="100"/>
    </row>
    <row r="486" s="70" customFormat="1" ht="25" customHeight="1" spans="1:15">
      <c r="A486" s="93">
        <v>481</v>
      </c>
      <c r="B486" s="94" t="s">
        <v>72</v>
      </c>
      <c r="C486" s="95" t="s">
        <v>1050</v>
      </c>
      <c r="D486" s="95" t="s">
        <v>1051</v>
      </c>
      <c r="E486" s="95" t="s">
        <v>1051</v>
      </c>
      <c r="F486" s="95" t="s">
        <v>1062</v>
      </c>
      <c r="G486" s="95" t="s">
        <v>1063</v>
      </c>
      <c r="H486" s="93" t="s">
        <v>77</v>
      </c>
      <c r="I486" s="96">
        <f>IF(H486="ILF",IF($C$1="预估功能点",'模板使用说明&amp;基础参数'!$E$15,7),IF(H486="EIF",IF($C$1="预估功能点",'模板使用说明&amp;基础参数'!$E$16,5),IF(H486="EI",IF($C$1="预估功能点",'模板使用说明&amp;基础参数'!$E$17,'模板使用说明&amp;基础参数'!$E$24),IF(H486="EO",IF($C$1="预估功能点",'模板使用说明&amp;基础参数'!$E$18,'模板使用说明&amp;基础参数'!$E$25),IF(H486="EQ",IF($C$1="预估功能点",'模板使用说明&amp;基础参数'!$E$19,'模板使用说明&amp;基础参数'!$E$26),"")))))</f>
        <v>7</v>
      </c>
      <c r="J486" s="97" t="s">
        <v>38</v>
      </c>
      <c r="K486" s="97" t="s">
        <v>78</v>
      </c>
      <c r="L486" s="98">
        <f>IF(I486="","",IF(J486="高",IF(K486="删除",I486*'模板使用说明&amp;基础参数'!$E$5*'模板使用说明&amp;基础参数'!$E$12,IF(K486="修改",I486*'模板使用说明&amp;基础参数'!$E$5*'模板使用说明&amp;基础参数'!$E$11,I486*'模板使用说明&amp;基础参数'!$E$5*'模板使用说明&amp;基础参数'!$E$10)),IF(J486="中",IF(K486="删除",I486*'模板使用说明&amp;基础参数'!$E$6*'模板使用说明&amp;基础参数'!$E$12,IF(K486="修改",I486*'模板使用说明&amp;基础参数'!$E$6*'模板使用说明&amp;基础参数'!$E$11,I486*'模板使用说明&amp;基础参数'!$E$6*'模板使用说明&amp;基础参数'!$E$10)),IF(K486="删除",I486*'模板使用说明&amp;基础参数'!$E$7*'模板使用说明&amp;基础参数'!$E$12,IF(K486="修改",I486*'模板使用说明&amp;基础参数'!$E$7*'模板使用说明&amp;基础参数'!$E$11,I486*'模板使用说明&amp;基础参数'!$E$7*'模板使用说明&amp;基础参数'!$E$10)))))</f>
        <v>1.86666666666666</v>
      </c>
      <c r="M486" s="95"/>
      <c r="N486" s="99"/>
      <c r="O486" s="100"/>
    </row>
    <row r="487" s="70" customFormat="1" ht="25" customHeight="1" spans="1:15">
      <c r="A487" s="93">
        <v>482</v>
      </c>
      <c r="B487" s="94" t="s">
        <v>72</v>
      </c>
      <c r="C487" s="95" t="s">
        <v>1050</v>
      </c>
      <c r="D487" s="95" t="s">
        <v>1051</v>
      </c>
      <c r="E487" s="95" t="s">
        <v>1051</v>
      </c>
      <c r="F487" s="95" t="s">
        <v>1064</v>
      </c>
      <c r="G487" s="95" t="s">
        <v>1065</v>
      </c>
      <c r="H487" s="93" t="s">
        <v>81</v>
      </c>
      <c r="I487" s="96">
        <f>IF(H487="ILF",IF($C$1="预估功能点",'模板使用说明&amp;基础参数'!$E$15,7),IF(H487="EIF",IF($C$1="预估功能点",'模板使用说明&amp;基础参数'!$E$16,5),IF(H487="EI",IF($C$1="预估功能点",'模板使用说明&amp;基础参数'!$E$17,'模板使用说明&amp;基础参数'!$E$24),IF(H487="EO",IF($C$1="预估功能点",'模板使用说明&amp;基础参数'!$E$18,'模板使用说明&amp;基础参数'!$E$25),IF(H487="EQ",IF($C$1="预估功能点",'模板使用说明&amp;基础参数'!$E$19,'模板使用说明&amp;基础参数'!$E$26),"")))))</f>
        <v>4</v>
      </c>
      <c r="J487" s="97" t="s">
        <v>38</v>
      </c>
      <c r="K487" s="97" t="s">
        <v>78</v>
      </c>
      <c r="L487" s="98">
        <f>IF(I487="","",IF(J487="高",IF(K487="删除",I487*'模板使用说明&amp;基础参数'!$E$5*'模板使用说明&amp;基础参数'!$E$12,IF(K487="修改",I487*'模板使用说明&amp;基础参数'!$E$5*'模板使用说明&amp;基础参数'!$E$11,I487*'模板使用说明&amp;基础参数'!$E$5*'模板使用说明&amp;基础参数'!$E$10)),IF(J487="中",IF(K487="删除",I487*'模板使用说明&amp;基础参数'!$E$6*'模板使用说明&amp;基础参数'!$E$12,IF(K487="修改",I487*'模板使用说明&amp;基础参数'!$E$6*'模板使用说明&amp;基础参数'!$E$11,I487*'模板使用说明&amp;基础参数'!$E$6*'模板使用说明&amp;基础参数'!$E$10)),IF(K487="删除",I487*'模板使用说明&amp;基础参数'!$E$7*'模板使用说明&amp;基础参数'!$E$12,IF(K487="修改",I487*'模板使用说明&amp;基础参数'!$E$7*'模板使用说明&amp;基础参数'!$E$11,I487*'模板使用说明&amp;基础参数'!$E$7*'模板使用说明&amp;基础参数'!$E$10)))))</f>
        <v>1.06666666666667</v>
      </c>
      <c r="M487" s="95"/>
      <c r="N487" s="99"/>
      <c r="O487" s="100"/>
    </row>
    <row r="488" s="70" customFormat="1" ht="25" customHeight="1" spans="1:15">
      <c r="A488" s="93">
        <v>483</v>
      </c>
      <c r="B488" s="94" t="s">
        <v>72</v>
      </c>
      <c r="C488" s="95" t="s">
        <v>1050</v>
      </c>
      <c r="D488" s="95" t="s">
        <v>1051</v>
      </c>
      <c r="E488" s="95" t="s">
        <v>1051</v>
      </c>
      <c r="F488" s="95" t="s">
        <v>1066</v>
      </c>
      <c r="G488" s="95" t="s">
        <v>1067</v>
      </c>
      <c r="H488" s="93" t="s">
        <v>84</v>
      </c>
      <c r="I488" s="96">
        <f>IF(H488="ILF",IF($C$1="预估功能点",'模板使用说明&amp;基础参数'!$E$15,7),IF(H488="EIF",IF($C$1="预估功能点",'模板使用说明&amp;基础参数'!$E$16,5),IF(H488="EI",IF($C$1="预估功能点",'模板使用说明&amp;基础参数'!$E$17,'模板使用说明&amp;基础参数'!$E$24),IF(H488="EO",IF($C$1="预估功能点",'模板使用说明&amp;基础参数'!$E$18,'模板使用说明&amp;基础参数'!$E$25),IF(H488="EQ",IF($C$1="预估功能点",'模板使用说明&amp;基础参数'!$E$19,'模板使用说明&amp;基础参数'!$E$26),"")))))</f>
        <v>4</v>
      </c>
      <c r="J488" s="97" t="s">
        <v>38</v>
      </c>
      <c r="K488" s="97" t="s">
        <v>78</v>
      </c>
      <c r="L488" s="98">
        <f>IF(I488="","",IF(J488="高",IF(K488="删除",I488*'模板使用说明&amp;基础参数'!$E$5*'模板使用说明&amp;基础参数'!$E$12,IF(K488="修改",I488*'模板使用说明&amp;基础参数'!$E$5*'模板使用说明&amp;基础参数'!$E$11,I488*'模板使用说明&amp;基础参数'!$E$5*'模板使用说明&amp;基础参数'!$E$10)),IF(J488="中",IF(K488="删除",I488*'模板使用说明&amp;基础参数'!$E$6*'模板使用说明&amp;基础参数'!$E$12,IF(K488="修改",I488*'模板使用说明&amp;基础参数'!$E$6*'模板使用说明&amp;基础参数'!$E$11,I488*'模板使用说明&amp;基础参数'!$E$6*'模板使用说明&amp;基础参数'!$E$10)),IF(K488="删除",I488*'模板使用说明&amp;基础参数'!$E$7*'模板使用说明&amp;基础参数'!$E$12,IF(K488="修改",I488*'模板使用说明&amp;基础参数'!$E$7*'模板使用说明&amp;基础参数'!$E$11,I488*'模板使用说明&amp;基础参数'!$E$7*'模板使用说明&amp;基础参数'!$E$10)))))</f>
        <v>1.06666666666667</v>
      </c>
      <c r="M488" s="95"/>
      <c r="N488" s="99"/>
      <c r="O488" s="100"/>
    </row>
    <row r="489" s="70" customFormat="1" ht="25" customHeight="1" spans="1:15">
      <c r="A489" s="93">
        <v>484</v>
      </c>
      <c r="B489" s="94" t="s">
        <v>72</v>
      </c>
      <c r="C489" s="95" t="s">
        <v>1050</v>
      </c>
      <c r="D489" s="95" t="s">
        <v>1051</v>
      </c>
      <c r="E489" s="95" t="s">
        <v>1051</v>
      </c>
      <c r="F489" s="95" t="s">
        <v>1068</v>
      </c>
      <c r="G489" s="95" t="s">
        <v>1069</v>
      </c>
      <c r="H489" s="93" t="s">
        <v>84</v>
      </c>
      <c r="I489" s="96">
        <f>IF(H489="ILF",IF($C$1="预估功能点",'模板使用说明&amp;基础参数'!$E$15,7),IF(H489="EIF",IF($C$1="预估功能点",'模板使用说明&amp;基础参数'!$E$16,5),IF(H489="EI",IF($C$1="预估功能点",'模板使用说明&amp;基础参数'!$E$17,'模板使用说明&amp;基础参数'!$E$24),IF(H489="EO",IF($C$1="预估功能点",'模板使用说明&amp;基础参数'!$E$18,'模板使用说明&amp;基础参数'!$E$25),IF(H489="EQ",IF($C$1="预估功能点",'模板使用说明&amp;基础参数'!$E$19,'模板使用说明&amp;基础参数'!$E$26),"")))))</f>
        <v>4</v>
      </c>
      <c r="J489" s="97" t="s">
        <v>38</v>
      </c>
      <c r="K489" s="97" t="s">
        <v>78</v>
      </c>
      <c r="L489" s="98">
        <f>IF(I489="","",IF(J489="高",IF(K489="删除",I489*'模板使用说明&amp;基础参数'!$E$5*'模板使用说明&amp;基础参数'!$E$12,IF(K489="修改",I489*'模板使用说明&amp;基础参数'!$E$5*'模板使用说明&amp;基础参数'!$E$11,I489*'模板使用说明&amp;基础参数'!$E$5*'模板使用说明&amp;基础参数'!$E$10)),IF(J489="中",IF(K489="删除",I489*'模板使用说明&amp;基础参数'!$E$6*'模板使用说明&amp;基础参数'!$E$12,IF(K489="修改",I489*'模板使用说明&amp;基础参数'!$E$6*'模板使用说明&amp;基础参数'!$E$11,I489*'模板使用说明&amp;基础参数'!$E$6*'模板使用说明&amp;基础参数'!$E$10)),IF(K489="删除",I489*'模板使用说明&amp;基础参数'!$E$7*'模板使用说明&amp;基础参数'!$E$12,IF(K489="修改",I489*'模板使用说明&amp;基础参数'!$E$7*'模板使用说明&amp;基础参数'!$E$11,I489*'模板使用说明&amp;基础参数'!$E$7*'模板使用说明&amp;基础参数'!$E$10)))))</f>
        <v>1.06666666666667</v>
      </c>
      <c r="M489" s="95"/>
      <c r="N489" s="99"/>
      <c r="O489" s="100"/>
    </row>
    <row r="490" s="70" customFormat="1" ht="25" customHeight="1" spans="1:15">
      <c r="A490" s="93">
        <v>485</v>
      </c>
      <c r="B490" s="94" t="s">
        <v>72</v>
      </c>
      <c r="C490" s="95" t="s">
        <v>1050</v>
      </c>
      <c r="D490" s="95" t="s">
        <v>1051</v>
      </c>
      <c r="E490" s="95" t="s">
        <v>1051</v>
      </c>
      <c r="F490" s="95" t="s">
        <v>1070</v>
      </c>
      <c r="G490" s="95" t="s">
        <v>1071</v>
      </c>
      <c r="H490" s="93" t="s">
        <v>84</v>
      </c>
      <c r="I490" s="96">
        <f>IF(H490="ILF",IF($C$1="预估功能点",'模板使用说明&amp;基础参数'!$E$15,7),IF(H490="EIF",IF($C$1="预估功能点",'模板使用说明&amp;基础参数'!$E$16,5),IF(H490="EI",IF($C$1="预估功能点",'模板使用说明&amp;基础参数'!$E$17,'模板使用说明&amp;基础参数'!$E$24),IF(H490="EO",IF($C$1="预估功能点",'模板使用说明&amp;基础参数'!$E$18,'模板使用说明&amp;基础参数'!$E$25),IF(H490="EQ",IF($C$1="预估功能点",'模板使用说明&amp;基础参数'!$E$19,'模板使用说明&amp;基础参数'!$E$26),"")))))</f>
        <v>4</v>
      </c>
      <c r="J490" s="97" t="s">
        <v>38</v>
      </c>
      <c r="K490" s="97" t="s">
        <v>78</v>
      </c>
      <c r="L490" s="98">
        <f>IF(I490="","",IF(J490="高",IF(K490="删除",I490*'模板使用说明&amp;基础参数'!$E$5*'模板使用说明&amp;基础参数'!$E$12,IF(K490="修改",I490*'模板使用说明&amp;基础参数'!$E$5*'模板使用说明&amp;基础参数'!$E$11,I490*'模板使用说明&amp;基础参数'!$E$5*'模板使用说明&amp;基础参数'!$E$10)),IF(J490="中",IF(K490="删除",I490*'模板使用说明&amp;基础参数'!$E$6*'模板使用说明&amp;基础参数'!$E$12,IF(K490="修改",I490*'模板使用说明&amp;基础参数'!$E$6*'模板使用说明&amp;基础参数'!$E$11,I490*'模板使用说明&amp;基础参数'!$E$6*'模板使用说明&amp;基础参数'!$E$10)),IF(K490="删除",I490*'模板使用说明&amp;基础参数'!$E$7*'模板使用说明&amp;基础参数'!$E$12,IF(K490="修改",I490*'模板使用说明&amp;基础参数'!$E$7*'模板使用说明&amp;基础参数'!$E$11,I490*'模板使用说明&amp;基础参数'!$E$7*'模板使用说明&amp;基础参数'!$E$10)))))</f>
        <v>1.06666666666667</v>
      </c>
      <c r="M490" s="95"/>
      <c r="N490" s="99"/>
      <c r="O490" s="100"/>
    </row>
    <row r="491" s="70" customFormat="1" ht="25" customHeight="1" spans="1:15">
      <c r="A491" s="93">
        <v>486</v>
      </c>
      <c r="B491" s="94" t="s">
        <v>72</v>
      </c>
      <c r="C491" s="95" t="s">
        <v>1050</v>
      </c>
      <c r="D491" s="95" t="s">
        <v>1051</v>
      </c>
      <c r="E491" s="95" t="s">
        <v>1051</v>
      </c>
      <c r="F491" s="95" t="s">
        <v>1072</v>
      </c>
      <c r="G491" s="95" t="s">
        <v>1073</v>
      </c>
      <c r="H491" s="93" t="s">
        <v>77</v>
      </c>
      <c r="I491" s="96">
        <f>IF(H491="ILF",IF($C$1="预估功能点",'模板使用说明&amp;基础参数'!$E$15,7),IF(H491="EIF",IF($C$1="预估功能点",'模板使用说明&amp;基础参数'!$E$16,5),IF(H491="EI",IF($C$1="预估功能点",'模板使用说明&amp;基础参数'!$E$17,'模板使用说明&amp;基础参数'!$E$24),IF(H491="EO",IF($C$1="预估功能点",'模板使用说明&amp;基础参数'!$E$18,'模板使用说明&amp;基础参数'!$E$25),IF(H491="EQ",IF($C$1="预估功能点",'模板使用说明&amp;基础参数'!$E$19,'模板使用说明&amp;基础参数'!$E$26),"")))))</f>
        <v>7</v>
      </c>
      <c r="J491" s="97" t="s">
        <v>38</v>
      </c>
      <c r="K491" s="97" t="s">
        <v>78</v>
      </c>
      <c r="L491" s="98">
        <f>IF(I491="","",IF(J491="高",IF(K491="删除",I491*'模板使用说明&amp;基础参数'!$E$5*'模板使用说明&amp;基础参数'!$E$12,IF(K491="修改",I491*'模板使用说明&amp;基础参数'!$E$5*'模板使用说明&amp;基础参数'!$E$11,I491*'模板使用说明&amp;基础参数'!$E$5*'模板使用说明&amp;基础参数'!$E$10)),IF(J491="中",IF(K491="删除",I491*'模板使用说明&amp;基础参数'!$E$6*'模板使用说明&amp;基础参数'!$E$12,IF(K491="修改",I491*'模板使用说明&amp;基础参数'!$E$6*'模板使用说明&amp;基础参数'!$E$11,I491*'模板使用说明&amp;基础参数'!$E$6*'模板使用说明&amp;基础参数'!$E$10)),IF(K491="删除",I491*'模板使用说明&amp;基础参数'!$E$7*'模板使用说明&amp;基础参数'!$E$12,IF(K491="修改",I491*'模板使用说明&amp;基础参数'!$E$7*'模板使用说明&amp;基础参数'!$E$11,I491*'模板使用说明&amp;基础参数'!$E$7*'模板使用说明&amp;基础参数'!$E$10)))))</f>
        <v>1.86666666666666</v>
      </c>
      <c r="M491" s="95"/>
      <c r="N491" s="99"/>
      <c r="O491" s="100"/>
    </row>
    <row r="492" s="70" customFormat="1" ht="25" customHeight="1" spans="1:15">
      <c r="A492" s="93">
        <v>487</v>
      </c>
      <c r="B492" s="94" t="s">
        <v>72</v>
      </c>
      <c r="C492" s="95" t="s">
        <v>1050</v>
      </c>
      <c r="D492" s="95" t="s">
        <v>1051</v>
      </c>
      <c r="E492" s="95" t="s">
        <v>1051</v>
      </c>
      <c r="F492" s="95" t="s">
        <v>1074</v>
      </c>
      <c r="G492" s="95" t="s">
        <v>1075</v>
      </c>
      <c r="H492" s="93" t="s">
        <v>81</v>
      </c>
      <c r="I492" s="96">
        <f>IF(H492="ILF",IF($C$1="预估功能点",'模板使用说明&amp;基础参数'!$E$15,7),IF(H492="EIF",IF($C$1="预估功能点",'模板使用说明&amp;基础参数'!$E$16,5),IF(H492="EI",IF($C$1="预估功能点",'模板使用说明&amp;基础参数'!$E$17,'模板使用说明&amp;基础参数'!$E$24),IF(H492="EO",IF($C$1="预估功能点",'模板使用说明&amp;基础参数'!$E$18,'模板使用说明&amp;基础参数'!$E$25),IF(H492="EQ",IF($C$1="预估功能点",'模板使用说明&amp;基础参数'!$E$19,'模板使用说明&amp;基础参数'!$E$26),"")))))</f>
        <v>4</v>
      </c>
      <c r="J492" s="97" t="s">
        <v>38</v>
      </c>
      <c r="K492" s="97" t="s">
        <v>78</v>
      </c>
      <c r="L492" s="98">
        <f>IF(I492="","",IF(J492="高",IF(K492="删除",I492*'模板使用说明&amp;基础参数'!$E$5*'模板使用说明&amp;基础参数'!$E$12,IF(K492="修改",I492*'模板使用说明&amp;基础参数'!$E$5*'模板使用说明&amp;基础参数'!$E$11,I492*'模板使用说明&amp;基础参数'!$E$5*'模板使用说明&amp;基础参数'!$E$10)),IF(J492="中",IF(K492="删除",I492*'模板使用说明&amp;基础参数'!$E$6*'模板使用说明&amp;基础参数'!$E$12,IF(K492="修改",I492*'模板使用说明&amp;基础参数'!$E$6*'模板使用说明&amp;基础参数'!$E$11,I492*'模板使用说明&amp;基础参数'!$E$6*'模板使用说明&amp;基础参数'!$E$10)),IF(K492="删除",I492*'模板使用说明&amp;基础参数'!$E$7*'模板使用说明&amp;基础参数'!$E$12,IF(K492="修改",I492*'模板使用说明&amp;基础参数'!$E$7*'模板使用说明&amp;基础参数'!$E$11,I492*'模板使用说明&amp;基础参数'!$E$7*'模板使用说明&amp;基础参数'!$E$10)))))</f>
        <v>1.06666666666667</v>
      </c>
      <c r="M492" s="95"/>
      <c r="N492" s="99"/>
      <c r="O492" s="100"/>
    </row>
    <row r="493" s="70" customFormat="1" ht="25" customHeight="1" spans="1:15">
      <c r="A493" s="93">
        <v>488</v>
      </c>
      <c r="B493" s="94" t="s">
        <v>72</v>
      </c>
      <c r="C493" s="95" t="s">
        <v>1050</v>
      </c>
      <c r="D493" s="95" t="s">
        <v>1051</v>
      </c>
      <c r="E493" s="95" t="s">
        <v>1051</v>
      </c>
      <c r="F493" s="95" t="s">
        <v>1076</v>
      </c>
      <c r="G493" s="95" t="s">
        <v>1077</v>
      </c>
      <c r="H493" s="93" t="s">
        <v>84</v>
      </c>
      <c r="I493" s="96">
        <f>IF(H493="ILF",IF($C$1="预估功能点",'模板使用说明&amp;基础参数'!$E$15,7),IF(H493="EIF",IF($C$1="预估功能点",'模板使用说明&amp;基础参数'!$E$16,5),IF(H493="EI",IF($C$1="预估功能点",'模板使用说明&amp;基础参数'!$E$17,'模板使用说明&amp;基础参数'!$E$24),IF(H493="EO",IF($C$1="预估功能点",'模板使用说明&amp;基础参数'!$E$18,'模板使用说明&amp;基础参数'!$E$25),IF(H493="EQ",IF($C$1="预估功能点",'模板使用说明&amp;基础参数'!$E$19,'模板使用说明&amp;基础参数'!$E$26),"")))))</f>
        <v>4</v>
      </c>
      <c r="J493" s="97" t="s">
        <v>38</v>
      </c>
      <c r="K493" s="97" t="s">
        <v>78</v>
      </c>
      <c r="L493" s="98">
        <f>IF(I493="","",IF(J493="高",IF(K493="删除",I493*'模板使用说明&amp;基础参数'!$E$5*'模板使用说明&amp;基础参数'!$E$12,IF(K493="修改",I493*'模板使用说明&amp;基础参数'!$E$5*'模板使用说明&amp;基础参数'!$E$11,I493*'模板使用说明&amp;基础参数'!$E$5*'模板使用说明&amp;基础参数'!$E$10)),IF(J493="中",IF(K493="删除",I493*'模板使用说明&amp;基础参数'!$E$6*'模板使用说明&amp;基础参数'!$E$12,IF(K493="修改",I493*'模板使用说明&amp;基础参数'!$E$6*'模板使用说明&amp;基础参数'!$E$11,I493*'模板使用说明&amp;基础参数'!$E$6*'模板使用说明&amp;基础参数'!$E$10)),IF(K493="删除",I493*'模板使用说明&amp;基础参数'!$E$7*'模板使用说明&amp;基础参数'!$E$12,IF(K493="修改",I493*'模板使用说明&amp;基础参数'!$E$7*'模板使用说明&amp;基础参数'!$E$11,I493*'模板使用说明&amp;基础参数'!$E$7*'模板使用说明&amp;基础参数'!$E$10)))))</f>
        <v>1.06666666666667</v>
      </c>
      <c r="M493" s="95"/>
      <c r="N493" s="99"/>
      <c r="O493" s="100"/>
    </row>
    <row r="494" s="70" customFormat="1" ht="25" customHeight="1" spans="1:15">
      <c r="A494" s="93">
        <v>489</v>
      </c>
      <c r="B494" s="94" t="s">
        <v>72</v>
      </c>
      <c r="C494" s="95" t="s">
        <v>1050</v>
      </c>
      <c r="D494" s="95" t="s">
        <v>1051</v>
      </c>
      <c r="E494" s="95" t="s">
        <v>1051</v>
      </c>
      <c r="F494" s="95" t="s">
        <v>1078</v>
      </c>
      <c r="G494" s="95" t="s">
        <v>1079</v>
      </c>
      <c r="H494" s="93" t="s">
        <v>84</v>
      </c>
      <c r="I494" s="96">
        <f>IF(H494="ILF",IF($C$1="预估功能点",'模板使用说明&amp;基础参数'!$E$15,7),IF(H494="EIF",IF($C$1="预估功能点",'模板使用说明&amp;基础参数'!$E$16,5),IF(H494="EI",IF($C$1="预估功能点",'模板使用说明&amp;基础参数'!$E$17,'模板使用说明&amp;基础参数'!$E$24),IF(H494="EO",IF($C$1="预估功能点",'模板使用说明&amp;基础参数'!$E$18,'模板使用说明&amp;基础参数'!$E$25),IF(H494="EQ",IF($C$1="预估功能点",'模板使用说明&amp;基础参数'!$E$19,'模板使用说明&amp;基础参数'!$E$26),"")))))</f>
        <v>4</v>
      </c>
      <c r="J494" s="97" t="s">
        <v>38</v>
      </c>
      <c r="K494" s="97" t="s">
        <v>78</v>
      </c>
      <c r="L494" s="98">
        <f>IF(I494="","",IF(J494="高",IF(K494="删除",I494*'模板使用说明&amp;基础参数'!$E$5*'模板使用说明&amp;基础参数'!$E$12,IF(K494="修改",I494*'模板使用说明&amp;基础参数'!$E$5*'模板使用说明&amp;基础参数'!$E$11,I494*'模板使用说明&amp;基础参数'!$E$5*'模板使用说明&amp;基础参数'!$E$10)),IF(J494="中",IF(K494="删除",I494*'模板使用说明&amp;基础参数'!$E$6*'模板使用说明&amp;基础参数'!$E$12,IF(K494="修改",I494*'模板使用说明&amp;基础参数'!$E$6*'模板使用说明&amp;基础参数'!$E$11,I494*'模板使用说明&amp;基础参数'!$E$6*'模板使用说明&amp;基础参数'!$E$10)),IF(K494="删除",I494*'模板使用说明&amp;基础参数'!$E$7*'模板使用说明&amp;基础参数'!$E$12,IF(K494="修改",I494*'模板使用说明&amp;基础参数'!$E$7*'模板使用说明&amp;基础参数'!$E$11,I494*'模板使用说明&amp;基础参数'!$E$7*'模板使用说明&amp;基础参数'!$E$10)))))</f>
        <v>1.06666666666667</v>
      </c>
      <c r="M494" s="95"/>
      <c r="N494" s="99"/>
      <c r="O494" s="100"/>
    </row>
    <row r="495" s="70" customFormat="1" ht="25" customHeight="1" spans="1:15">
      <c r="A495" s="93">
        <v>490</v>
      </c>
      <c r="B495" s="94" t="s">
        <v>72</v>
      </c>
      <c r="C495" s="95" t="s">
        <v>1050</v>
      </c>
      <c r="D495" s="95" t="s">
        <v>1051</v>
      </c>
      <c r="E495" s="95" t="s">
        <v>1051</v>
      </c>
      <c r="F495" s="95" t="s">
        <v>1080</v>
      </c>
      <c r="G495" s="95" t="s">
        <v>1081</v>
      </c>
      <c r="H495" s="93" t="s">
        <v>84</v>
      </c>
      <c r="I495" s="96">
        <f>IF(H495="ILF",IF($C$1="预估功能点",'模板使用说明&amp;基础参数'!$E$15,7),IF(H495="EIF",IF($C$1="预估功能点",'模板使用说明&amp;基础参数'!$E$16,5),IF(H495="EI",IF($C$1="预估功能点",'模板使用说明&amp;基础参数'!$E$17,'模板使用说明&amp;基础参数'!$E$24),IF(H495="EO",IF($C$1="预估功能点",'模板使用说明&amp;基础参数'!$E$18,'模板使用说明&amp;基础参数'!$E$25),IF(H495="EQ",IF($C$1="预估功能点",'模板使用说明&amp;基础参数'!$E$19,'模板使用说明&amp;基础参数'!$E$26),"")))))</f>
        <v>4</v>
      </c>
      <c r="J495" s="97" t="s">
        <v>38</v>
      </c>
      <c r="K495" s="97" t="s">
        <v>78</v>
      </c>
      <c r="L495" s="98">
        <f>IF(I495="","",IF(J495="高",IF(K495="删除",I495*'模板使用说明&amp;基础参数'!$E$5*'模板使用说明&amp;基础参数'!$E$12,IF(K495="修改",I495*'模板使用说明&amp;基础参数'!$E$5*'模板使用说明&amp;基础参数'!$E$11,I495*'模板使用说明&amp;基础参数'!$E$5*'模板使用说明&amp;基础参数'!$E$10)),IF(J495="中",IF(K495="删除",I495*'模板使用说明&amp;基础参数'!$E$6*'模板使用说明&amp;基础参数'!$E$12,IF(K495="修改",I495*'模板使用说明&amp;基础参数'!$E$6*'模板使用说明&amp;基础参数'!$E$11,I495*'模板使用说明&amp;基础参数'!$E$6*'模板使用说明&amp;基础参数'!$E$10)),IF(K495="删除",I495*'模板使用说明&amp;基础参数'!$E$7*'模板使用说明&amp;基础参数'!$E$12,IF(K495="修改",I495*'模板使用说明&amp;基础参数'!$E$7*'模板使用说明&amp;基础参数'!$E$11,I495*'模板使用说明&amp;基础参数'!$E$7*'模板使用说明&amp;基础参数'!$E$10)))))</f>
        <v>1.06666666666667</v>
      </c>
      <c r="M495" s="95"/>
      <c r="N495" s="99"/>
      <c r="O495" s="100"/>
    </row>
    <row r="496" s="70" customFormat="1" ht="25" customHeight="1" spans="1:15">
      <c r="A496" s="93">
        <v>491</v>
      </c>
      <c r="B496" s="94" t="s">
        <v>72</v>
      </c>
      <c r="C496" s="95" t="s">
        <v>1050</v>
      </c>
      <c r="D496" s="95" t="s">
        <v>1051</v>
      </c>
      <c r="E496" s="95" t="s">
        <v>1051</v>
      </c>
      <c r="F496" s="95" t="s">
        <v>1082</v>
      </c>
      <c r="G496" s="95" t="s">
        <v>1083</v>
      </c>
      <c r="H496" s="93" t="s">
        <v>77</v>
      </c>
      <c r="I496" s="96">
        <f>IF(H496="ILF",IF($C$1="预估功能点",'模板使用说明&amp;基础参数'!$E$15,7),IF(H496="EIF",IF($C$1="预估功能点",'模板使用说明&amp;基础参数'!$E$16,5),IF(H496="EI",IF($C$1="预估功能点",'模板使用说明&amp;基础参数'!$E$17,'模板使用说明&amp;基础参数'!$E$24),IF(H496="EO",IF($C$1="预估功能点",'模板使用说明&amp;基础参数'!$E$18,'模板使用说明&amp;基础参数'!$E$25),IF(H496="EQ",IF($C$1="预估功能点",'模板使用说明&amp;基础参数'!$E$19,'模板使用说明&amp;基础参数'!$E$26),"")))))</f>
        <v>7</v>
      </c>
      <c r="J496" s="97" t="s">
        <v>38</v>
      </c>
      <c r="K496" s="97" t="s">
        <v>78</v>
      </c>
      <c r="L496" s="98">
        <f>IF(I496="","",IF(J496="高",IF(K496="删除",I496*'模板使用说明&amp;基础参数'!$E$5*'模板使用说明&amp;基础参数'!$E$12,IF(K496="修改",I496*'模板使用说明&amp;基础参数'!$E$5*'模板使用说明&amp;基础参数'!$E$11,I496*'模板使用说明&amp;基础参数'!$E$5*'模板使用说明&amp;基础参数'!$E$10)),IF(J496="中",IF(K496="删除",I496*'模板使用说明&amp;基础参数'!$E$6*'模板使用说明&amp;基础参数'!$E$12,IF(K496="修改",I496*'模板使用说明&amp;基础参数'!$E$6*'模板使用说明&amp;基础参数'!$E$11,I496*'模板使用说明&amp;基础参数'!$E$6*'模板使用说明&amp;基础参数'!$E$10)),IF(K496="删除",I496*'模板使用说明&amp;基础参数'!$E$7*'模板使用说明&amp;基础参数'!$E$12,IF(K496="修改",I496*'模板使用说明&amp;基础参数'!$E$7*'模板使用说明&amp;基础参数'!$E$11,I496*'模板使用说明&amp;基础参数'!$E$7*'模板使用说明&amp;基础参数'!$E$10)))))</f>
        <v>1.86666666666666</v>
      </c>
      <c r="M496" s="95"/>
      <c r="N496" s="99"/>
      <c r="O496" s="100"/>
    </row>
    <row r="497" s="70" customFormat="1" ht="25" customHeight="1" spans="1:15">
      <c r="A497" s="93">
        <v>492</v>
      </c>
      <c r="B497" s="94" t="s">
        <v>72</v>
      </c>
      <c r="C497" s="95" t="s">
        <v>1050</v>
      </c>
      <c r="D497" s="95" t="s">
        <v>1051</v>
      </c>
      <c r="E497" s="95" t="s">
        <v>1051</v>
      </c>
      <c r="F497" s="95" t="s">
        <v>1084</v>
      </c>
      <c r="G497" s="95" t="s">
        <v>1085</v>
      </c>
      <c r="H497" s="93" t="s">
        <v>81</v>
      </c>
      <c r="I497" s="96">
        <f>IF(H497="ILF",IF($C$1="预估功能点",'模板使用说明&amp;基础参数'!$E$15,7),IF(H497="EIF",IF($C$1="预估功能点",'模板使用说明&amp;基础参数'!$E$16,5),IF(H497="EI",IF($C$1="预估功能点",'模板使用说明&amp;基础参数'!$E$17,'模板使用说明&amp;基础参数'!$E$24),IF(H497="EO",IF($C$1="预估功能点",'模板使用说明&amp;基础参数'!$E$18,'模板使用说明&amp;基础参数'!$E$25),IF(H497="EQ",IF($C$1="预估功能点",'模板使用说明&amp;基础参数'!$E$19,'模板使用说明&amp;基础参数'!$E$26),"")))))</f>
        <v>4</v>
      </c>
      <c r="J497" s="97" t="s">
        <v>38</v>
      </c>
      <c r="K497" s="97" t="s">
        <v>78</v>
      </c>
      <c r="L497" s="98">
        <f>IF(I497="","",IF(J497="高",IF(K497="删除",I497*'模板使用说明&amp;基础参数'!$E$5*'模板使用说明&amp;基础参数'!$E$12,IF(K497="修改",I497*'模板使用说明&amp;基础参数'!$E$5*'模板使用说明&amp;基础参数'!$E$11,I497*'模板使用说明&amp;基础参数'!$E$5*'模板使用说明&amp;基础参数'!$E$10)),IF(J497="中",IF(K497="删除",I497*'模板使用说明&amp;基础参数'!$E$6*'模板使用说明&amp;基础参数'!$E$12,IF(K497="修改",I497*'模板使用说明&amp;基础参数'!$E$6*'模板使用说明&amp;基础参数'!$E$11,I497*'模板使用说明&amp;基础参数'!$E$6*'模板使用说明&amp;基础参数'!$E$10)),IF(K497="删除",I497*'模板使用说明&amp;基础参数'!$E$7*'模板使用说明&amp;基础参数'!$E$12,IF(K497="修改",I497*'模板使用说明&amp;基础参数'!$E$7*'模板使用说明&amp;基础参数'!$E$11,I497*'模板使用说明&amp;基础参数'!$E$7*'模板使用说明&amp;基础参数'!$E$10)))))</f>
        <v>1.06666666666667</v>
      </c>
      <c r="M497" s="95"/>
      <c r="N497" s="99"/>
      <c r="O497" s="100"/>
    </row>
    <row r="498" s="70" customFormat="1" ht="25" customHeight="1" spans="1:15">
      <c r="A498" s="93">
        <v>493</v>
      </c>
      <c r="B498" s="94" t="s">
        <v>72</v>
      </c>
      <c r="C498" s="95" t="s">
        <v>1050</v>
      </c>
      <c r="D498" s="95" t="s">
        <v>1051</v>
      </c>
      <c r="E498" s="95" t="s">
        <v>1051</v>
      </c>
      <c r="F498" s="95" t="s">
        <v>1086</v>
      </c>
      <c r="G498" s="95" t="s">
        <v>1087</v>
      </c>
      <c r="H498" s="93" t="s">
        <v>84</v>
      </c>
      <c r="I498" s="96">
        <f>IF(H498="ILF",IF($C$1="预估功能点",'模板使用说明&amp;基础参数'!$E$15,7),IF(H498="EIF",IF($C$1="预估功能点",'模板使用说明&amp;基础参数'!$E$16,5),IF(H498="EI",IF($C$1="预估功能点",'模板使用说明&amp;基础参数'!$E$17,'模板使用说明&amp;基础参数'!$E$24),IF(H498="EO",IF($C$1="预估功能点",'模板使用说明&amp;基础参数'!$E$18,'模板使用说明&amp;基础参数'!$E$25),IF(H498="EQ",IF($C$1="预估功能点",'模板使用说明&amp;基础参数'!$E$19,'模板使用说明&amp;基础参数'!$E$26),"")))))</f>
        <v>4</v>
      </c>
      <c r="J498" s="97" t="s">
        <v>38</v>
      </c>
      <c r="K498" s="97" t="s">
        <v>78</v>
      </c>
      <c r="L498" s="98">
        <f>IF(I498="","",IF(J498="高",IF(K498="删除",I498*'模板使用说明&amp;基础参数'!$E$5*'模板使用说明&amp;基础参数'!$E$12,IF(K498="修改",I498*'模板使用说明&amp;基础参数'!$E$5*'模板使用说明&amp;基础参数'!$E$11,I498*'模板使用说明&amp;基础参数'!$E$5*'模板使用说明&amp;基础参数'!$E$10)),IF(J498="中",IF(K498="删除",I498*'模板使用说明&amp;基础参数'!$E$6*'模板使用说明&amp;基础参数'!$E$12,IF(K498="修改",I498*'模板使用说明&amp;基础参数'!$E$6*'模板使用说明&amp;基础参数'!$E$11,I498*'模板使用说明&amp;基础参数'!$E$6*'模板使用说明&amp;基础参数'!$E$10)),IF(K498="删除",I498*'模板使用说明&amp;基础参数'!$E$7*'模板使用说明&amp;基础参数'!$E$12,IF(K498="修改",I498*'模板使用说明&amp;基础参数'!$E$7*'模板使用说明&amp;基础参数'!$E$11,I498*'模板使用说明&amp;基础参数'!$E$7*'模板使用说明&amp;基础参数'!$E$10)))))</f>
        <v>1.06666666666667</v>
      </c>
      <c r="M498" s="95"/>
      <c r="N498" s="99"/>
      <c r="O498" s="100"/>
    </row>
    <row r="499" s="70" customFormat="1" ht="25" customHeight="1" spans="1:15">
      <c r="A499" s="93">
        <v>494</v>
      </c>
      <c r="B499" s="94" t="s">
        <v>72</v>
      </c>
      <c r="C499" s="95" t="s">
        <v>1050</v>
      </c>
      <c r="D499" s="95" t="s">
        <v>1051</v>
      </c>
      <c r="E499" s="95" t="s">
        <v>1051</v>
      </c>
      <c r="F499" s="95" t="s">
        <v>1088</v>
      </c>
      <c r="G499" s="95" t="s">
        <v>1089</v>
      </c>
      <c r="H499" s="93" t="s">
        <v>84</v>
      </c>
      <c r="I499" s="96">
        <f>IF(H499="ILF",IF($C$1="预估功能点",'模板使用说明&amp;基础参数'!$E$15,7),IF(H499="EIF",IF($C$1="预估功能点",'模板使用说明&amp;基础参数'!$E$16,5),IF(H499="EI",IF($C$1="预估功能点",'模板使用说明&amp;基础参数'!$E$17,'模板使用说明&amp;基础参数'!$E$24),IF(H499="EO",IF($C$1="预估功能点",'模板使用说明&amp;基础参数'!$E$18,'模板使用说明&amp;基础参数'!$E$25),IF(H499="EQ",IF($C$1="预估功能点",'模板使用说明&amp;基础参数'!$E$19,'模板使用说明&amp;基础参数'!$E$26),"")))))</f>
        <v>4</v>
      </c>
      <c r="J499" s="97" t="s">
        <v>38</v>
      </c>
      <c r="K499" s="97" t="s">
        <v>78</v>
      </c>
      <c r="L499" s="98">
        <f>IF(I499="","",IF(J499="高",IF(K499="删除",I499*'模板使用说明&amp;基础参数'!$E$5*'模板使用说明&amp;基础参数'!$E$12,IF(K499="修改",I499*'模板使用说明&amp;基础参数'!$E$5*'模板使用说明&amp;基础参数'!$E$11,I499*'模板使用说明&amp;基础参数'!$E$5*'模板使用说明&amp;基础参数'!$E$10)),IF(J499="中",IF(K499="删除",I499*'模板使用说明&amp;基础参数'!$E$6*'模板使用说明&amp;基础参数'!$E$12,IF(K499="修改",I499*'模板使用说明&amp;基础参数'!$E$6*'模板使用说明&amp;基础参数'!$E$11,I499*'模板使用说明&amp;基础参数'!$E$6*'模板使用说明&amp;基础参数'!$E$10)),IF(K499="删除",I499*'模板使用说明&amp;基础参数'!$E$7*'模板使用说明&amp;基础参数'!$E$12,IF(K499="修改",I499*'模板使用说明&amp;基础参数'!$E$7*'模板使用说明&amp;基础参数'!$E$11,I499*'模板使用说明&amp;基础参数'!$E$7*'模板使用说明&amp;基础参数'!$E$10)))))</f>
        <v>1.06666666666667</v>
      </c>
      <c r="M499" s="95"/>
      <c r="N499" s="99"/>
      <c r="O499" s="100"/>
    </row>
    <row r="500" s="70" customFormat="1" ht="25" customHeight="1" spans="1:15">
      <c r="A500" s="93">
        <v>495</v>
      </c>
      <c r="B500" s="94" t="s">
        <v>72</v>
      </c>
      <c r="C500" s="95" t="s">
        <v>1050</v>
      </c>
      <c r="D500" s="95" t="s">
        <v>1051</v>
      </c>
      <c r="E500" s="95" t="s">
        <v>1051</v>
      </c>
      <c r="F500" s="95" t="s">
        <v>1090</v>
      </c>
      <c r="G500" s="95" t="s">
        <v>1091</v>
      </c>
      <c r="H500" s="93" t="s">
        <v>84</v>
      </c>
      <c r="I500" s="96">
        <f>IF(H500="ILF",IF($C$1="预估功能点",'模板使用说明&amp;基础参数'!$E$15,7),IF(H500="EIF",IF($C$1="预估功能点",'模板使用说明&amp;基础参数'!$E$16,5),IF(H500="EI",IF($C$1="预估功能点",'模板使用说明&amp;基础参数'!$E$17,'模板使用说明&amp;基础参数'!$E$24),IF(H500="EO",IF($C$1="预估功能点",'模板使用说明&amp;基础参数'!$E$18,'模板使用说明&amp;基础参数'!$E$25),IF(H500="EQ",IF($C$1="预估功能点",'模板使用说明&amp;基础参数'!$E$19,'模板使用说明&amp;基础参数'!$E$26),"")))))</f>
        <v>4</v>
      </c>
      <c r="J500" s="97" t="s">
        <v>38</v>
      </c>
      <c r="K500" s="97" t="s">
        <v>78</v>
      </c>
      <c r="L500" s="98">
        <f>IF(I500="","",IF(J500="高",IF(K500="删除",I500*'模板使用说明&amp;基础参数'!$E$5*'模板使用说明&amp;基础参数'!$E$12,IF(K500="修改",I500*'模板使用说明&amp;基础参数'!$E$5*'模板使用说明&amp;基础参数'!$E$11,I500*'模板使用说明&amp;基础参数'!$E$5*'模板使用说明&amp;基础参数'!$E$10)),IF(J500="中",IF(K500="删除",I500*'模板使用说明&amp;基础参数'!$E$6*'模板使用说明&amp;基础参数'!$E$12,IF(K500="修改",I500*'模板使用说明&amp;基础参数'!$E$6*'模板使用说明&amp;基础参数'!$E$11,I500*'模板使用说明&amp;基础参数'!$E$6*'模板使用说明&amp;基础参数'!$E$10)),IF(K500="删除",I500*'模板使用说明&amp;基础参数'!$E$7*'模板使用说明&amp;基础参数'!$E$12,IF(K500="修改",I500*'模板使用说明&amp;基础参数'!$E$7*'模板使用说明&amp;基础参数'!$E$11,I500*'模板使用说明&amp;基础参数'!$E$7*'模板使用说明&amp;基础参数'!$E$10)))))</f>
        <v>1.06666666666667</v>
      </c>
      <c r="M500" s="95"/>
      <c r="N500" s="99"/>
      <c r="O500" s="100"/>
    </row>
    <row r="501" s="70" customFormat="1" ht="25" customHeight="1" spans="1:15">
      <c r="A501" s="93">
        <v>496</v>
      </c>
      <c r="B501" s="94" t="s">
        <v>72</v>
      </c>
      <c r="C501" s="95" t="s">
        <v>1050</v>
      </c>
      <c r="D501" s="95" t="s">
        <v>1051</v>
      </c>
      <c r="E501" s="95" t="s">
        <v>1051</v>
      </c>
      <c r="F501" s="95" t="s">
        <v>1092</v>
      </c>
      <c r="G501" s="95" t="s">
        <v>1093</v>
      </c>
      <c r="H501" s="93" t="s">
        <v>77</v>
      </c>
      <c r="I501" s="96">
        <f>IF(H501="ILF",IF($C$1="预估功能点",'模板使用说明&amp;基础参数'!$E$15,7),IF(H501="EIF",IF($C$1="预估功能点",'模板使用说明&amp;基础参数'!$E$16,5),IF(H501="EI",IF($C$1="预估功能点",'模板使用说明&amp;基础参数'!$E$17,'模板使用说明&amp;基础参数'!$E$24),IF(H501="EO",IF($C$1="预估功能点",'模板使用说明&amp;基础参数'!$E$18,'模板使用说明&amp;基础参数'!$E$25),IF(H501="EQ",IF($C$1="预估功能点",'模板使用说明&amp;基础参数'!$E$19,'模板使用说明&amp;基础参数'!$E$26),"")))))</f>
        <v>7</v>
      </c>
      <c r="J501" s="97" t="s">
        <v>38</v>
      </c>
      <c r="K501" s="97" t="s">
        <v>78</v>
      </c>
      <c r="L501" s="98">
        <f>IF(I501="","",IF(J501="高",IF(K501="删除",I501*'模板使用说明&amp;基础参数'!$E$5*'模板使用说明&amp;基础参数'!$E$12,IF(K501="修改",I501*'模板使用说明&amp;基础参数'!$E$5*'模板使用说明&amp;基础参数'!$E$11,I501*'模板使用说明&amp;基础参数'!$E$5*'模板使用说明&amp;基础参数'!$E$10)),IF(J501="中",IF(K501="删除",I501*'模板使用说明&amp;基础参数'!$E$6*'模板使用说明&amp;基础参数'!$E$12,IF(K501="修改",I501*'模板使用说明&amp;基础参数'!$E$6*'模板使用说明&amp;基础参数'!$E$11,I501*'模板使用说明&amp;基础参数'!$E$6*'模板使用说明&amp;基础参数'!$E$10)),IF(K501="删除",I501*'模板使用说明&amp;基础参数'!$E$7*'模板使用说明&amp;基础参数'!$E$12,IF(K501="修改",I501*'模板使用说明&amp;基础参数'!$E$7*'模板使用说明&amp;基础参数'!$E$11,I501*'模板使用说明&amp;基础参数'!$E$7*'模板使用说明&amp;基础参数'!$E$10)))))</f>
        <v>1.86666666666666</v>
      </c>
      <c r="M501" s="95"/>
      <c r="N501" s="99"/>
      <c r="O501" s="100"/>
    </row>
    <row r="502" s="70" customFormat="1" ht="25" customHeight="1" spans="1:15">
      <c r="A502" s="93">
        <v>497</v>
      </c>
      <c r="B502" s="94" t="s">
        <v>72</v>
      </c>
      <c r="C502" s="95" t="s">
        <v>1050</v>
      </c>
      <c r="D502" s="95" t="s">
        <v>1051</v>
      </c>
      <c r="E502" s="95" t="s">
        <v>1051</v>
      </c>
      <c r="F502" s="95" t="s">
        <v>1094</v>
      </c>
      <c r="G502" s="95" t="s">
        <v>1095</v>
      </c>
      <c r="H502" s="93" t="s">
        <v>81</v>
      </c>
      <c r="I502" s="96">
        <f>IF(H502="ILF",IF($C$1="预估功能点",'模板使用说明&amp;基础参数'!$E$15,7),IF(H502="EIF",IF($C$1="预估功能点",'模板使用说明&amp;基础参数'!$E$16,5),IF(H502="EI",IF($C$1="预估功能点",'模板使用说明&amp;基础参数'!$E$17,'模板使用说明&amp;基础参数'!$E$24),IF(H502="EO",IF($C$1="预估功能点",'模板使用说明&amp;基础参数'!$E$18,'模板使用说明&amp;基础参数'!$E$25),IF(H502="EQ",IF($C$1="预估功能点",'模板使用说明&amp;基础参数'!$E$19,'模板使用说明&amp;基础参数'!$E$26),"")))))</f>
        <v>4</v>
      </c>
      <c r="J502" s="97" t="s">
        <v>38</v>
      </c>
      <c r="K502" s="97" t="s">
        <v>78</v>
      </c>
      <c r="L502" s="98">
        <f>IF(I502="","",IF(J502="高",IF(K502="删除",I502*'模板使用说明&amp;基础参数'!$E$5*'模板使用说明&amp;基础参数'!$E$12,IF(K502="修改",I502*'模板使用说明&amp;基础参数'!$E$5*'模板使用说明&amp;基础参数'!$E$11,I502*'模板使用说明&amp;基础参数'!$E$5*'模板使用说明&amp;基础参数'!$E$10)),IF(J502="中",IF(K502="删除",I502*'模板使用说明&amp;基础参数'!$E$6*'模板使用说明&amp;基础参数'!$E$12,IF(K502="修改",I502*'模板使用说明&amp;基础参数'!$E$6*'模板使用说明&amp;基础参数'!$E$11,I502*'模板使用说明&amp;基础参数'!$E$6*'模板使用说明&amp;基础参数'!$E$10)),IF(K502="删除",I502*'模板使用说明&amp;基础参数'!$E$7*'模板使用说明&amp;基础参数'!$E$12,IF(K502="修改",I502*'模板使用说明&amp;基础参数'!$E$7*'模板使用说明&amp;基础参数'!$E$11,I502*'模板使用说明&amp;基础参数'!$E$7*'模板使用说明&amp;基础参数'!$E$10)))))</f>
        <v>1.06666666666667</v>
      </c>
      <c r="M502" s="95"/>
      <c r="N502" s="99"/>
      <c r="O502" s="100"/>
    </row>
    <row r="503" s="70" customFormat="1" ht="25" customHeight="1" spans="1:15">
      <c r="A503" s="93">
        <v>498</v>
      </c>
      <c r="B503" s="94" t="s">
        <v>72</v>
      </c>
      <c r="C503" s="95" t="s">
        <v>1050</v>
      </c>
      <c r="D503" s="95" t="s">
        <v>1051</v>
      </c>
      <c r="E503" s="95" t="s">
        <v>1051</v>
      </c>
      <c r="F503" s="95" t="s">
        <v>1096</v>
      </c>
      <c r="G503" s="95" t="s">
        <v>1097</v>
      </c>
      <c r="H503" s="93" t="s">
        <v>84</v>
      </c>
      <c r="I503" s="96">
        <f>IF(H503="ILF",IF($C$1="预估功能点",'模板使用说明&amp;基础参数'!$E$15,7),IF(H503="EIF",IF($C$1="预估功能点",'模板使用说明&amp;基础参数'!$E$16,5),IF(H503="EI",IF($C$1="预估功能点",'模板使用说明&amp;基础参数'!$E$17,'模板使用说明&amp;基础参数'!$E$24),IF(H503="EO",IF($C$1="预估功能点",'模板使用说明&amp;基础参数'!$E$18,'模板使用说明&amp;基础参数'!$E$25),IF(H503="EQ",IF($C$1="预估功能点",'模板使用说明&amp;基础参数'!$E$19,'模板使用说明&amp;基础参数'!$E$26),"")))))</f>
        <v>4</v>
      </c>
      <c r="J503" s="97" t="s">
        <v>38</v>
      </c>
      <c r="K503" s="97" t="s">
        <v>78</v>
      </c>
      <c r="L503" s="98">
        <f>IF(I503="","",IF(J503="高",IF(K503="删除",I503*'模板使用说明&amp;基础参数'!$E$5*'模板使用说明&amp;基础参数'!$E$12,IF(K503="修改",I503*'模板使用说明&amp;基础参数'!$E$5*'模板使用说明&amp;基础参数'!$E$11,I503*'模板使用说明&amp;基础参数'!$E$5*'模板使用说明&amp;基础参数'!$E$10)),IF(J503="中",IF(K503="删除",I503*'模板使用说明&amp;基础参数'!$E$6*'模板使用说明&amp;基础参数'!$E$12,IF(K503="修改",I503*'模板使用说明&amp;基础参数'!$E$6*'模板使用说明&amp;基础参数'!$E$11,I503*'模板使用说明&amp;基础参数'!$E$6*'模板使用说明&amp;基础参数'!$E$10)),IF(K503="删除",I503*'模板使用说明&amp;基础参数'!$E$7*'模板使用说明&amp;基础参数'!$E$12,IF(K503="修改",I503*'模板使用说明&amp;基础参数'!$E$7*'模板使用说明&amp;基础参数'!$E$11,I503*'模板使用说明&amp;基础参数'!$E$7*'模板使用说明&amp;基础参数'!$E$10)))))</f>
        <v>1.06666666666667</v>
      </c>
      <c r="M503" s="95"/>
      <c r="N503" s="99"/>
      <c r="O503" s="100"/>
    </row>
    <row r="504" s="70" customFormat="1" ht="25" customHeight="1" spans="1:15">
      <c r="A504" s="93">
        <v>499</v>
      </c>
      <c r="B504" s="94" t="s">
        <v>72</v>
      </c>
      <c r="C504" s="95" t="s">
        <v>1050</v>
      </c>
      <c r="D504" s="95" t="s">
        <v>1051</v>
      </c>
      <c r="E504" s="95" t="s">
        <v>1051</v>
      </c>
      <c r="F504" s="95" t="s">
        <v>1098</v>
      </c>
      <c r="G504" s="95" t="s">
        <v>1099</v>
      </c>
      <c r="H504" s="93" t="s">
        <v>84</v>
      </c>
      <c r="I504" s="96">
        <f>IF(H504="ILF",IF($C$1="预估功能点",'模板使用说明&amp;基础参数'!$E$15,7),IF(H504="EIF",IF($C$1="预估功能点",'模板使用说明&amp;基础参数'!$E$16,5),IF(H504="EI",IF($C$1="预估功能点",'模板使用说明&amp;基础参数'!$E$17,'模板使用说明&amp;基础参数'!$E$24),IF(H504="EO",IF($C$1="预估功能点",'模板使用说明&amp;基础参数'!$E$18,'模板使用说明&amp;基础参数'!$E$25),IF(H504="EQ",IF($C$1="预估功能点",'模板使用说明&amp;基础参数'!$E$19,'模板使用说明&amp;基础参数'!$E$26),"")))))</f>
        <v>4</v>
      </c>
      <c r="J504" s="97" t="s">
        <v>38</v>
      </c>
      <c r="K504" s="97" t="s">
        <v>78</v>
      </c>
      <c r="L504" s="98">
        <f>IF(I504="","",IF(J504="高",IF(K504="删除",I504*'模板使用说明&amp;基础参数'!$E$5*'模板使用说明&amp;基础参数'!$E$12,IF(K504="修改",I504*'模板使用说明&amp;基础参数'!$E$5*'模板使用说明&amp;基础参数'!$E$11,I504*'模板使用说明&amp;基础参数'!$E$5*'模板使用说明&amp;基础参数'!$E$10)),IF(J504="中",IF(K504="删除",I504*'模板使用说明&amp;基础参数'!$E$6*'模板使用说明&amp;基础参数'!$E$12,IF(K504="修改",I504*'模板使用说明&amp;基础参数'!$E$6*'模板使用说明&amp;基础参数'!$E$11,I504*'模板使用说明&amp;基础参数'!$E$6*'模板使用说明&amp;基础参数'!$E$10)),IF(K504="删除",I504*'模板使用说明&amp;基础参数'!$E$7*'模板使用说明&amp;基础参数'!$E$12,IF(K504="修改",I504*'模板使用说明&amp;基础参数'!$E$7*'模板使用说明&amp;基础参数'!$E$11,I504*'模板使用说明&amp;基础参数'!$E$7*'模板使用说明&amp;基础参数'!$E$10)))))</f>
        <v>1.06666666666667</v>
      </c>
      <c r="M504" s="95"/>
      <c r="N504" s="99"/>
      <c r="O504" s="100"/>
    </row>
    <row r="505" s="70" customFormat="1" ht="25" customHeight="1" spans="1:15">
      <c r="A505" s="93">
        <v>500</v>
      </c>
      <c r="B505" s="94" t="s">
        <v>72</v>
      </c>
      <c r="C505" s="95" t="s">
        <v>1050</v>
      </c>
      <c r="D505" s="95" t="s">
        <v>1051</v>
      </c>
      <c r="E505" s="95" t="s">
        <v>1051</v>
      </c>
      <c r="F505" s="95" t="s">
        <v>1100</v>
      </c>
      <c r="G505" s="95" t="s">
        <v>1101</v>
      </c>
      <c r="H505" s="93" t="s">
        <v>84</v>
      </c>
      <c r="I505" s="96">
        <f>IF(H505="ILF",IF($C$1="预估功能点",'模板使用说明&amp;基础参数'!$E$15,7),IF(H505="EIF",IF($C$1="预估功能点",'模板使用说明&amp;基础参数'!$E$16,5),IF(H505="EI",IF($C$1="预估功能点",'模板使用说明&amp;基础参数'!$E$17,'模板使用说明&amp;基础参数'!$E$24),IF(H505="EO",IF($C$1="预估功能点",'模板使用说明&amp;基础参数'!$E$18,'模板使用说明&amp;基础参数'!$E$25),IF(H505="EQ",IF($C$1="预估功能点",'模板使用说明&amp;基础参数'!$E$19,'模板使用说明&amp;基础参数'!$E$26),"")))))</f>
        <v>4</v>
      </c>
      <c r="J505" s="97" t="s">
        <v>38</v>
      </c>
      <c r="K505" s="97" t="s">
        <v>78</v>
      </c>
      <c r="L505" s="98">
        <f>IF(I505="","",IF(J505="高",IF(K505="删除",I505*'模板使用说明&amp;基础参数'!$E$5*'模板使用说明&amp;基础参数'!$E$12,IF(K505="修改",I505*'模板使用说明&amp;基础参数'!$E$5*'模板使用说明&amp;基础参数'!$E$11,I505*'模板使用说明&amp;基础参数'!$E$5*'模板使用说明&amp;基础参数'!$E$10)),IF(J505="中",IF(K505="删除",I505*'模板使用说明&amp;基础参数'!$E$6*'模板使用说明&amp;基础参数'!$E$12,IF(K505="修改",I505*'模板使用说明&amp;基础参数'!$E$6*'模板使用说明&amp;基础参数'!$E$11,I505*'模板使用说明&amp;基础参数'!$E$6*'模板使用说明&amp;基础参数'!$E$10)),IF(K505="删除",I505*'模板使用说明&amp;基础参数'!$E$7*'模板使用说明&amp;基础参数'!$E$12,IF(K505="修改",I505*'模板使用说明&amp;基础参数'!$E$7*'模板使用说明&amp;基础参数'!$E$11,I505*'模板使用说明&amp;基础参数'!$E$7*'模板使用说明&amp;基础参数'!$E$10)))))</f>
        <v>1.06666666666667</v>
      </c>
      <c r="M505" s="95"/>
      <c r="N505" s="99"/>
      <c r="O505" s="100"/>
    </row>
    <row r="506" s="70" customFormat="1" ht="25" customHeight="1" spans="1:15">
      <c r="A506" s="93">
        <v>501</v>
      </c>
      <c r="B506" s="94" t="s">
        <v>72</v>
      </c>
      <c r="C506" s="95" t="s">
        <v>508</v>
      </c>
      <c r="D506" s="95" t="s">
        <v>509</v>
      </c>
      <c r="E506" s="95" t="s">
        <v>509</v>
      </c>
      <c r="F506" s="95" t="s">
        <v>1102</v>
      </c>
      <c r="G506" s="95" t="s">
        <v>1103</v>
      </c>
      <c r="H506" s="93" t="s">
        <v>77</v>
      </c>
      <c r="I506" s="96">
        <f>IF(H506="ILF",IF($C$1="预估功能点",'模板使用说明&amp;基础参数'!$E$15,7),IF(H506="EIF",IF($C$1="预估功能点",'模板使用说明&amp;基础参数'!$E$16,5),IF(H506="EI",IF($C$1="预估功能点",'模板使用说明&amp;基础参数'!$E$17,'模板使用说明&amp;基础参数'!$E$24),IF(H506="EO",IF($C$1="预估功能点",'模板使用说明&amp;基础参数'!$E$18,'模板使用说明&amp;基础参数'!$E$25),IF(H506="EQ",IF($C$1="预估功能点",'模板使用说明&amp;基础参数'!$E$19,'模板使用说明&amp;基础参数'!$E$26),"")))))</f>
        <v>7</v>
      </c>
      <c r="J506" s="97" t="s">
        <v>38</v>
      </c>
      <c r="K506" s="97" t="s">
        <v>78</v>
      </c>
      <c r="L506" s="98">
        <f>IF(I506="","",IF(J506="高",IF(K506="删除",I506*'模板使用说明&amp;基础参数'!$E$5*'模板使用说明&amp;基础参数'!$E$12,IF(K506="修改",I506*'模板使用说明&amp;基础参数'!$E$5*'模板使用说明&amp;基础参数'!$E$11,I506*'模板使用说明&amp;基础参数'!$E$5*'模板使用说明&amp;基础参数'!$E$10)),IF(J506="中",IF(K506="删除",I506*'模板使用说明&amp;基础参数'!$E$6*'模板使用说明&amp;基础参数'!$E$12,IF(K506="修改",I506*'模板使用说明&amp;基础参数'!$E$6*'模板使用说明&amp;基础参数'!$E$11,I506*'模板使用说明&amp;基础参数'!$E$6*'模板使用说明&amp;基础参数'!$E$10)),IF(K506="删除",I506*'模板使用说明&amp;基础参数'!$E$7*'模板使用说明&amp;基础参数'!$E$12,IF(K506="修改",I506*'模板使用说明&amp;基础参数'!$E$7*'模板使用说明&amp;基础参数'!$E$11,I506*'模板使用说明&amp;基础参数'!$E$7*'模板使用说明&amp;基础参数'!$E$10)))))</f>
        <v>1.86666666666666</v>
      </c>
      <c r="M506" s="95"/>
      <c r="N506" s="99"/>
      <c r="O506" s="100"/>
    </row>
    <row r="507" s="70" customFormat="1" ht="25" customHeight="1" spans="1:15">
      <c r="A507" s="93">
        <v>502</v>
      </c>
      <c r="B507" s="94" t="s">
        <v>72</v>
      </c>
      <c r="C507" s="95" t="s">
        <v>508</v>
      </c>
      <c r="D507" s="95" t="s">
        <v>509</v>
      </c>
      <c r="E507" s="95" t="s">
        <v>509</v>
      </c>
      <c r="F507" s="95" t="s">
        <v>1104</v>
      </c>
      <c r="G507" s="95" t="s">
        <v>1105</v>
      </c>
      <c r="H507" s="93" t="s">
        <v>81</v>
      </c>
      <c r="I507" s="96">
        <f>IF(H507="ILF",IF($C$1="预估功能点",'模板使用说明&amp;基础参数'!$E$15,7),IF(H507="EIF",IF($C$1="预估功能点",'模板使用说明&amp;基础参数'!$E$16,5),IF(H507="EI",IF($C$1="预估功能点",'模板使用说明&amp;基础参数'!$E$17,'模板使用说明&amp;基础参数'!$E$24),IF(H507="EO",IF($C$1="预估功能点",'模板使用说明&amp;基础参数'!$E$18,'模板使用说明&amp;基础参数'!$E$25),IF(H507="EQ",IF($C$1="预估功能点",'模板使用说明&amp;基础参数'!$E$19,'模板使用说明&amp;基础参数'!$E$26),"")))))</f>
        <v>4</v>
      </c>
      <c r="J507" s="97" t="s">
        <v>38</v>
      </c>
      <c r="K507" s="97" t="s">
        <v>78</v>
      </c>
      <c r="L507" s="98">
        <f>IF(I507="","",IF(J507="高",IF(K507="删除",I507*'模板使用说明&amp;基础参数'!$E$5*'模板使用说明&amp;基础参数'!$E$12,IF(K507="修改",I507*'模板使用说明&amp;基础参数'!$E$5*'模板使用说明&amp;基础参数'!$E$11,I507*'模板使用说明&amp;基础参数'!$E$5*'模板使用说明&amp;基础参数'!$E$10)),IF(J507="中",IF(K507="删除",I507*'模板使用说明&amp;基础参数'!$E$6*'模板使用说明&amp;基础参数'!$E$12,IF(K507="修改",I507*'模板使用说明&amp;基础参数'!$E$6*'模板使用说明&amp;基础参数'!$E$11,I507*'模板使用说明&amp;基础参数'!$E$6*'模板使用说明&amp;基础参数'!$E$10)),IF(K507="删除",I507*'模板使用说明&amp;基础参数'!$E$7*'模板使用说明&amp;基础参数'!$E$12,IF(K507="修改",I507*'模板使用说明&amp;基础参数'!$E$7*'模板使用说明&amp;基础参数'!$E$11,I507*'模板使用说明&amp;基础参数'!$E$7*'模板使用说明&amp;基础参数'!$E$10)))))</f>
        <v>1.06666666666667</v>
      </c>
      <c r="M507" s="95"/>
      <c r="N507" s="99"/>
      <c r="O507" s="100"/>
    </row>
    <row r="508" s="70" customFormat="1" ht="25" customHeight="1" spans="1:15">
      <c r="A508" s="93">
        <v>503</v>
      </c>
      <c r="B508" s="94" t="s">
        <v>72</v>
      </c>
      <c r="C508" s="95" t="s">
        <v>508</v>
      </c>
      <c r="D508" s="95" t="s">
        <v>509</v>
      </c>
      <c r="E508" s="95" t="s">
        <v>509</v>
      </c>
      <c r="F508" s="95" t="s">
        <v>1106</v>
      </c>
      <c r="G508" s="95" t="s">
        <v>1107</v>
      </c>
      <c r="H508" s="93" t="s">
        <v>84</v>
      </c>
      <c r="I508" s="96">
        <f>IF(H508="ILF",IF($C$1="预估功能点",'模板使用说明&amp;基础参数'!$E$15,7),IF(H508="EIF",IF($C$1="预估功能点",'模板使用说明&amp;基础参数'!$E$16,5),IF(H508="EI",IF($C$1="预估功能点",'模板使用说明&amp;基础参数'!$E$17,'模板使用说明&amp;基础参数'!$E$24),IF(H508="EO",IF($C$1="预估功能点",'模板使用说明&amp;基础参数'!$E$18,'模板使用说明&amp;基础参数'!$E$25),IF(H508="EQ",IF($C$1="预估功能点",'模板使用说明&amp;基础参数'!$E$19,'模板使用说明&amp;基础参数'!$E$26),"")))))</f>
        <v>4</v>
      </c>
      <c r="J508" s="97" t="s">
        <v>38</v>
      </c>
      <c r="K508" s="97" t="s">
        <v>78</v>
      </c>
      <c r="L508" s="98">
        <f>IF(I508="","",IF(J508="高",IF(K508="删除",I508*'模板使用说明&amp;基础参数'!$E$5*'模板使用说明&amp;基础参数'!$E$12,IF(K508="修改",I508*'模板使用说明&amp;基础参数'!$E$5*'模板使用说明&amp;基础参数'!$E$11,I508*'模板使用说明&amp;基础参数'!$E$5*'模板使用说明&amp;基础参数'!$E$10)),IF(J508="中",IF(K508="删除",I508*'模板使用说明&amp;基础参数'!$E$6*'模板使用说明&amp;基础参数'!$E$12,IF(K508="修改",I508*'模板使用说明&amp;基础参数'!$E$6*'模板使用说明&amp;基础参数'!$E$11,I508*'模板使用说明&amp;基础参数'!$E$6*'模板使用说明&amp;基础参数'!$E$10)),IF(K508="删除",I508*'模板使用说明&amp;基础参数'!$E$7*'模板使用说明&amp;基础参数'!$E$12,IF(K508="修改",I508*'模板使用说明&amp;基础参数'!$E$7*'模板使用说明&amp;基础参数'!$E$11,I508*'模板使用说明&amp;基础参数'!$E$7*'模板使用说明&amp;基础参数'!$E$10)))))</f>
        <v>1.06666666666667</v>
      </c>
      <c r="M508" s="95"/>
      <c r="N508" s="99"/>
      <c r="O508" s="100"/>
    </row>
    <row r="509" s="70" customFormat="1" ht="25" customHeight="1" spans="1:15">
      <c r="A509" s="93">
        <v>504</v>
      </c>
      <c r="B509" s="94" t="s">
        <v>72</v>
      </c>
      <c r="C509" s="95" t="s">
        <v>508</v>
      </c>
      <c r="D509" s="95" t="s">
        <v>509</v>
      </c>
      <c r="E509" s="95" t="s">
        <v>509</v>
      </c>
      <c r="F509" s="95" t="s">
        <v>1108</v>
      </c>
      <c r="G509" s="95" t="s">
        <v>1109</v>
      </c>
      <c r="H509" s="93" t="s">
        <v>84</v>
      </c>
      <c r="I509" s="96">
        <f>IF(H509="ILF",IF($C$1="预估功能点",'模板使用说明&amp;基础参数'!$E$15,7),IF(H509="EIF",IF($C$1="预估功能点",'模板使用说明&amp;基础参数'!$E$16,5),IF(H509="EI",IF($C$1="预估功能点",'模板使用说明&amp;基础参数'!$E$17,'模板使用说明&amp;基础参数'!$E$24),IF(H509="EO",IF($C$1="预估功能点",'模板使用说明&amp;基础参数'!$E$18,'模板使用说明&amp;基础参数'!$E$25),IF(H509="EQ",IF($C$1="预估功能点",'模板使用说明&amp;基础参数'!$E$19,'模板使用说明&amp;基础参数'!$E$26),"")))))</f>
        <v>4</v>
      </c>
      <c r="J509" s="97" t="s">
        <v>38</v>
      </c>
      <c r="K509" s="97" t="s">
        <v>78</v>
      </c>
      <c r="L509" s="98">
        <f>IF(I509="","",IF(J509="高",IF(K509="删除",I509*'模板使用说明&amp;基础参数'!$E$5*'模板使用说明&amp;基础参数'!$E$12,IF(K509="修改",I509*'模板使用说明&amp;基础参数'!$E$5*'模板使用说明&amp;基础参数'!$E$11,I509*'模板使用说明&amp;基础参数'!$E$5*'模板使用说明&amp;基础参数'!$E$10)),IF(J509="中",IF(K509="删除",I509*'模板使用说明&amp;基础参数'!$E$6*'模板使用说明&amp;基础参数'!$E$12,IF(K509="修改",I509*'模板使用说明&amp;基础参数'!$E$6*'模板使用说明&amp;基础参数'!$E$11,I509*'模板使用说明&amp;基础参数'!$E$6*'模板使用说明&amp;基础参数'!$E$10)),IF(K509="删除",I509*'模板使用说明&amp;基础参数'!$E$7*'模板使用说明&amp;基础参数'!$E$12,IF(K509="修改",I509*'模板使用说明&amp;基础参数'!$E$7*'模板使用说明&amp;基础参数'!$E$11,I509*'模板使用说明&amp;基础参数'!$E$7*'模板使用说明&amp;基础参数'!$E$10)))))</f>
        <v>1.06666666666667</v>
      </c>
      <c r="M509" s="95"/>
      <c r="N509" s="99"/>
      <c r="O509" s="100"/>
    </row>
    <row r="510" s="70" customFormat="1" ht="25" customHeight="1" spans="1:15">
      <c r="A510" s="93">
        <v>505</v>
      </c>
      <c r="B510" s="94" t="s">
        <v>72</v>
      </c>
      <c r="C510" s="95" t="s">
        <v>508</v>
      </c>
      <c r="D510" s="95" t="s">
        <v>509</v>
      </c>
      <c r="E510" s="95" t="s">
        <v>509</v>
      </c>
      <c r="F510" s="95" t="s">
        <v>1110</v>
      </c>
      <c r="G510" s="95" t="s">
        <v>1111</v>
      </c>
      <c r="H510" s="93" t="s">
        <v>84</v>
      </c>
      <c r="I510" s="96">
        <f>IF(H510="ILF",IF($C$1="预估功能点",'模板使用说明&amp;基础参数'!$E$15,7),IF(H510="EIF",IF($C$1="预估功能点",'模板使用说明&amp;基础参数'!$E$16,5),IF(H510="EI",IF($C$1="预估功能点",'模板使用说明&amp;基础参数'!$E$17,'模板使用说明&amp;基础参数'!$E$24),IF(H510="EO",IF($C$1="预估功能点",'模板使用说明&amp;基础参数'!$E$18,'模板使用说明&amp;基础参数'!$E$25),IF(H510="EQ",IF($C$1="预估功能点",'模板使用说明&amp;基础参数'!$E$19,'模板使用说明&amp;基础参数'!$E$26),"")))))</f>
        <v>4</v>
      </c>
      <c r="J510" s="97" t="s">
        <v>38</v>
      </c>
      <c r="K510" s="97" t="s">
        <v>78</v>
      </c>
      <c r="L510" s="98">
        <f>IF(I510="","",IF(J510="高",IF(K510="删除",I510*'模板使用说明&amp;基础参数'!$E$5*'模板使用说明&amp;基础参数'!$E$12,IF(K510="修改",I510*'模板使用说明&amp;基础参数'!$E$5*'模板使用说明&amp;基础参数'!$E$11,I510*'模板使用说明&amp;基础参数'!$E$5*'模板使用说明&amp;基础参数'!$E$10)),IF(J510="中",IF(K510="删除",I510*'模板使用说明&amp;基础参数'!$E$6*'模板使用说明&amp;基础参数'!$E$12,IF(K510="修改",I510*'模板使用说明&amp;基础参数'!$E$6*'模板使用说明&amp;基础参数'!$E$11,I510*'模板使用说明&amp;基础参数'!$E$6*'模板使用说明&amp;基础参数'!$E$10)),IF(K510="删除",I510*'模板使用说明&amp;基础参数'!$E$7*'模板使用说明&amp;基础参数'!$E$12,IF(K510="修改",I510*'模板使用说明&amp;基础参数'!$E$7*'模板使用说明&amp;基础参数'!$E$11,I510*'模板使用说明&amp;基础参数'!$E$7*'模板使用说明&amp;基础参数'!$E$10)))))</f>
        <v>1.06666666666667</v>
      </c>
      <c r="M510" s="95"/>
      <c r="N510" s="99"/>
      <c r="O510" s="100"/>
    </row>
    <row r="511" s="70" customFormat="1" ht="25" customHeight="1" spans="1:15">
      <c r="A511" s="93">
        <v>506</v>
      </c>
      <c r="B511" s="94" t="s">
        <v>72</v>
      </c>
      <c r="C511" s="95" t="s">
        <v>508</v>
      </c>
      <c r="D511" s="95" t="s">
        <v>509</v>
      </c>
      <c r="E511" s="95" t="s">
        <v>509</v>
      </c>
      <c r="F511" s="95" t="s">
        <v>1112</v>
      </c>
      <c r="G511" s="95" t="s">
        <v>1113</v>
      </c>
      <c r="H511" s="93" t="s">
        <v>77</v>
      </c>
      <c r="I511" s="96">
        <f>IF(H511="ILF",IF($C$1="预估功能点",'模板使用说明&amp;基础参数'!$E$15,7),IF(H511="EIF",IF($C$1="预估功能点",'模板使用说明&amp;基础参数'!$E$16,5),IF(H511="EI",IF($C$1="预估功能点",'模板使用说明&amp;基础参数'!$E$17,'模板使用说明&amp;基础参数'!$E$24),IF(H511="EO",IF($C$1="预估功能点",'模板使用说明&amp;基础参数'!$E$18,'模板使用说明&amp;基础参数'!$E$25),IF(H511="EQ",IF($C$1="预估功能点",'模板使用说明&amp;基础参数'!$E$19,'模板使用说明&amp;基础参数'!$E$26),"")))))</f>
        <v>7</v>
      </c>
      <c r="J511" s="97" t="s">
        <v>38</v>
      </c>
      <c r="K511" s="97" t="s">
        <v>78</v>
      </c>
      <c r="L511" s="98">
        <f>IF(I511="","",IF(J511="高",IF(K511="删除",I511*'模板使用说明&amp;基础参数'!$E$5*'模板使用说明&amp;基础参数'!$E$12,IF(K511="修改",I511*'模板使用说明&amp;基础参数'!$E$5*'模板使用说明&amp;基础参数'!$E$11,I511*'模板使用说明&amp;基础参数'!$E$5*'模板使用说明&amp;基础参数'!$E$10)),IF(J511="中",IF(K511="删除",I511*'模板使用说明&amp;基础参数'!$E$6*'模板使用说明&amp;基础参数'!$E$12,IF(K511="修改",I511*'模板使用说明&amp;基础参数'!$E$6*'模板使用说明&amp;基础参数'!$E$11,I511*'模板使用说明&amp;基础参数'!$E$6*'模板使用说明&amp;基础参数'!$E$10)),IF(K511="删除",I511*'模板使用说明&amp;基础参数'!$E$7*'模板使用说明&amp;基础参数'!$E$12,IF(K511="修改",I511*'模板使用说明&amp;基础参数'!$E$7*'模板使用说明&amp;基础参数'!$E$11,I511*'模板使用说明&amp;基础参数'!$E$7*'模板使用说明&amp;基础参数'!$E$10)))))</f>
        <v>1.86666666666666</v>
      </c>
      <c r="M511" s="95"/>
      <c r="N511" s="99"/>
      <c r="O511" s="100"/>
    </row>
    <row r="512" s="70" customFormat="1" ht="25" customHeight="1" spans="1:15">
      <c r="A512" s="93">
        <v>507</v>
      </c>
      <c r="B512" s="94" t="s">
        <v>72</v>
      </c>
      <c r="C512" s="95" t="s">
        <v>508</v>
      </c>
      <c r="D512" s="95" t="s">
        <v>509</v>
      </c>
      <c r="E512" s="95" t="s">
        <v>509</v>
      </c>
      <c r="F512" s="95" t="s">
        <v>1114</v>
      </c>
      <c r="G512" s="95" t="s">
        <v>1115</v>
      </c>
      <c r="H512" s="93" t="s">
        <v>81</v>
      </c>
      <c r="I512" s="96">
        <f>IF(H512="ILF",IF($C$1="预估功能点",'模板使用说明&amp;基础参数'!$E$15,7),IF(H512="EIF",IF($C$1="预估功能点",'模板使用说明&amp;基础参数'!$E$16,5),IF(H512="EI",IF($C$1="预估功能点",'模板使用说明&amp;基础参数'!$E$17,'模板使用说明&amp;基础参数'!$E$24),IF(H512="EO",IF($C$1="预估功能点",'模板使用说明&amp;基础参数'!$E$18,'模板使用说明&amp;基础参数'!$E$25),IF(H512="EQ",IF($C$1="预估功能点",'模板使用说明&amp;基础参数'!$E$19,'模板使用说明&amp;基础参数'!$E$26),"")))))</f>
        <v>4</v>
      </c>
      <c r="J512" s="97" t="s">
        <v>38</v>
      </c>
      <c r="K512" s="97" t="s">
        <v>78</v>
      </c>
      <c r="L512" s="98">
        <f>IF(I512="","",IF(J512="高",IF(K512="删除",I512*'模板使用说明&amp;基础参数'!$E$5*'模板使用说明&amp;基础参数'!$E$12,IF(K512="修改",I512*'模板使用说明&amp;基础参数'!$E$5*'模板使用说明&amp;基础参数'!$E$11,I512*'模板使用说明&amp;基础参数'!$E$5*'模板使用说明&amp;基础参数'!$E$10)),IF(J512="中",IF(K512="删除",I512*'模板使用说明&amp;基础参数'!$E$6*'模板使用说明&amp;基础参数'!$E$12,IF(K512="修改",I512*'模板使用说明&amp;基础参数'!$E$6*'模板使用说明&amp;基础参数'!$E$11,I512*'模板使用说明&amp;基础参数'!$E$6*'模板使用说明&amp;基础参数'!$E$10)),IF(K512="删除",I512*'模板使用说明&amp;基础参数'!$E$7*'模板使用说明&amp;基础参数'!$E$12,IF(K512="修改",I512*'模板使用说明&amp;基础参数'!$E$7*'模板使用说明&amp;基础参数'!$E$11,I512*'模板使用说明&amp;基础参数'!$E$7*'模板使用说明&amp;基础参数'!$E$10)))))</f>
        <v>1.06666666666667</v>
      </c>
      <c r="M512" s="95"/>
      <c r="N512" s="99"/>
      <c r="O512" s="100"/>
    </row>
    <row r="513" s="70" customFormat="1" ht="25" customHeight="1" spans="1:15">
      <c r="A513" s="93">
        <v>508</v>
      </c>
      <c r="B513" s="94" t="s">
        <v>72</v>
      </c>
      <c r="C513" s="95" t="s">
        <v>508</v>
      </c>
      <c r="D513" s="95" t="s">
        <v>509</v>
      </c>
      <c r="E513" s="95" t="s">
        <v>509</v>
      </c>
      <c r="F513" s="95" t="s">
        <v>1116</v>
      </c>
      <c r="G513" s="95" t="s">
        <v>1117</v>
      </c>
      <c r="H513" s="93" t="s">
        <v>84</v>
      </c>
      <c r="I513" s="96">
        <f>IF(H513="ILF",IF($C$1="预估功能点",'模板使用说明&amp;基础参数'!$E$15,7),IF(H513="EIF",IF($C$1="预估功能点",'模板使用说明&amp;基础参数'!$E$16,5),IF(H513="EI",IF($C$1="预估功能点",'模板使用说明&amp;基础参数'!$E$17,'模板使用说明&amp;基础参数'!$E$24),IF(H513="EO",IF($C$1="预估功能点",'模板使用说明&amp;基础参数'!$E$18,'模板使用说明&amp;基础参数'!$E$25),IF(H513="EQ",IF($C$1="预估功能点",'模板使用说明&amp;基础参数'!$E$19,'模板使用说明&amp;基础参数'!$E$26),"")))))</f>
        <v>4</v>
      </c>
      <c r="J513" s="97" t="s">
        <v>38</v>
      </c>
      <c r="K513" s="97" t="s">
        <v>78</v>
      </c>
      <c r="L513" s="98">
        <f>IF(I513="","",IF(J513="高",IF(K513="删除",I513*'模板使用说明&amp;基础参数'!$E$5*'模板使用说明&amp;基础参数'!$E$12,IF(K513="修改",I513*'模板使用说明&amp;基础参数'!$E$5*'模板使用说明&amp;基础参数'!$E$11,I513*'模板使用说明&amp;基础参数'!$E$5*'模板使用说明&amp;基础参数'!$E$10)),IF(J513="中",IF(K513="删除",I513*'模板使用说明&amp;基础参数'!$E$6*'模板使用说明&amp;基础参数'!$E$12,IF(K513="修改",I513*'模板使用说明&amp;基础参数'!$E$6*'模板使用说明&amp;基础参数'!$E$11,I513*'模板使用说明&amp;基础参数'!$E$6*'模板使用说明&amp;基础参数'!$E$10)),IF(K513="删除",I513*'模板使用说明&amp;基础参数'!$E$7*'模板使用说明&amp;基础参数'!$E$12,IF(K513="修改",I513*'模板使用说明&amp;基础参数'!$E$7*'模板使用说明&amp;基础参数'!$E$11,I513*'模板使用说明&amp;基础参数'!$E$7*'模板使用说明&amp;基础参数'!$E$10)))))</f>
        <v>1.06666666666667</v>
      </c>
      <c r="M513" s="95"/>
      <c r="N513" s="99"/>
      <c r="O513" s="100"/>
    </row>
    <row r="514" s="70" customFormat="1" ht="25" customHeight="1" spans="1:15">
      <c r="A514" s="93">
        <v>509</v>
      </c>
      <c r="B514" s="94" t="s">
        <v>72</v>
      </c>
      <c r="C514" s="95" t="s">
        <v>508</v>
      </c>
      <c r="D514" s="95" t="s">
        <v>509</v>
      </c>
      <c r="E514" s="95" t="s">
        <v>509</v>
      </c>
      <c r="F514" s="95" t="s">
        <v>1118</v>
      </c>
      <c r="G514" s="95" t="s">
        <v>1119</v>
      </c>
      <c r="H514" s="93" t="s">
        <v>84</v>
      </c>
      <c r="I514" s="96">
        <f>IF(H514="ILF",IF($C$1="预估功能点",'模板使用说明&amp;基础参数'!$E$15,7),IF(H514="EIF",IF($C$1="预估功能点",'模板使用说明&amp;基础参数'!$E$16,5),IF(H514="EI",IF($C$1="预估功能点",'模板使用说明&amp;基础参数'!$E$17,'模板使用说明&amp;基础参数'!$E$24),IF(H514="EO",IF($C$1="预估功能点",'模板使用说明&amp;基础参数'!$E$18,'模板使用说明&amp;基础参数'!$E$25),IF(H514="EQ",IF($C$1="预估功能点",'模板使用说明&amp;基础参数'!$E$19,'模板使用说明&amp;基础参数'!$E$26),"")))))</f>
        <v>4</v>
      </c>
      <c r="J514" s="97" t="s">
        <v>38</v>
      </c>
      <c r="K514" s="97" t="s">
        <v>78</v>
      </c>
      <c r="L514" s="98">
        <f>IF(I514="","",IF(J514="高",IF(K514="删除",I514*'模板使用说明&amp;基础参数'!$E$5*'模板使用说明&amp;基础参数'!$E$12,IF(K514="修改",I514*'模板使用说明&amp;基础参数'!$E$5*'模板使用说明&amp;基础参数'!$E$11,I514*'模板使用说明&amp;基础参数'!$E$5*'模板使用说明&amp;基础参数'!$E$10)),IF(J514="中",IF(K514="删除",I514*'模板使用说明&amp;基础参数'!$E$6*'模板使用说明&amp;基础参数'!$E$12,IF(K514="修改",I514*'模板使用说明&amp;基础参数'!$E$6*'模板使用说明&amp;基础参数'!$E$11,I514*'模板使用说明&amp;基础参数'!$E$6*'模板使用说明&amp;基础参数'!$E$10)),IF(K514="删除",I514*'模板使用说明&amp;基础参数'!$E$7*'模板使用说明&amp;基础参数'!$E$12,IF(K514="修改",I514*'模板使用说明&amp;基础参数'!$E$7*'模板使用说明&amp;基础参数'!$E$11,I514*'模板使用说明&amp;基础参数'!$E$7*'模板使用说明&amp;基础参数'!$E$10)))))</f>
        <v>1.06666666666667</v>
      </c>
      <c r="M514" s="95"/>
      <c r="N514" s="99"/>
      <c r="O514" s="100"/>
    </row>
    <row r="515" s="70" customFormat="1" ht="25" customHeight="1" spans="1:15">
      <c r="A515" s="93">
        <v>510</v>
      </c>
      <c r="B515" s="94" t="s">
        <v>72</v>
      </c>
      <c r="C515" s="95" t="s">
        <v>508</v>
      </c>
      <c r="D515" s="95" t="s">
        <v>509</v>
      </c>
      <c r="E515" s="95" t="s">
        <v>509</v>
      </c>
      <c r="F515" s="95" t="s">
        <v>1120</v>
      </c>
      <c r="G515" s="95" t="s">
        <v>1121</v>
      </c>
      <c r="H515" s="93" t="s">
        <v>84</v>
      </c>
      <c r="I515" s="96">
        <f>IF(H515="ILF",IF($C$1="预估功能点",'模板使用说明&amp;基础参数'!$E$15,7),IF(H515="EIF",IF($C$1="预估功能点",'模板使用说明&amp;基础参数'!$E$16,5),IF(H515="EI",IF($C$1="预估功能点",'模板使用说明&amp;基础参数'!$E$17,'模板使用说明&amp;基础参数'!$E$24),IF(H515="EO",IF($C$1="预估功能点",'模板使用说明&amp;基础参数'!$E$18,'模板使用说明&amp;基础参数'!$E$25),IF(H515="EQ",IF($C$1="预估功能点",'模板使用说明&amp;基础参数'!$E$19,'模板使用说明&amp;基础参数'!$E$26),"")))))</f>
        <v>4</v>
      </c>
      <c r="J515" s="97" t="s">
        <v>38</v>
      </c>
      <c r="K515" s="97" t="s">
        <v>78</v>
      </c>
      <c r="L515" s="98">
        <f>IF(I515="","",IF(J515="高",IF(K515="删除",I515*'模板使用说明&amp;基础参数'!$E$5*'模板使用说明&amp;基础参数'!$E$12,IF(K515="修改",I515*'模板使用说明&amp;基础参数'!$E$5*'模板使用说明&amp;基础参数'!$E$11,I515*'模板使用说明&amp;基础参数'!$E$5*'模板使用说明&amp;基础参数'!$E$10)),IF(J515="中",IF(K515="删除",I515*'模板使用说明&amp;基础参数'!$E$6*'模板使用说明&amp;基础参数'!$E$12,IF(K515="修改",I515*'模板使用说明&amp;基础参数'!$E$6*'模板使用说明&amp;基础参数'!$E$11,I515*'模板使用说明&amp;基础参数'!$E$6*'模板使用说明&amp;基础参数'!$E$10)),IF(K515="删除",I515*'模板使用说明&amp;基础参数'!$E$7*'模板使用说明&amp;基础参数'!$E$12,IF(K515="修改",I515*'模板使用说明&amp;基础参数'!$E$7*'模板使用说明&amp;基础参数'!$E$11,I515*'模板使用说明&amp;基础参数'!$E$7*'模板使用说明&amp;基础参数'!$E$10)))))</f>
        <v>1.06666666666667</v>
      </c>
      <c r="M515" s="95"/>
      <c r="N515" s="99"/>
      <c r="O515" s="100"/>
    </row>
    <row r="516" s="70" customFormat="1" ht="25" customHeight="1" spans="1:15">
      <c r="A516" s="93">
        <v>511</v>
      </c>
      <c r="B516" s="94" t="s">
        <v>72</v>
      </c>
      <c r="C516" s="95" t="s">
        <v>508</v>
      </c>
      <c r="D516" s="95" t="s">
        <v>509</v>
      </c>
      <c r="E516" s="95" t="s">
        <v>509</v>
      </c>
      <c r="F516" s="95" t="s">
        <v>1122</v>
      </c>
      <c r="G516" s="95" t="s">
        <v>1123</v>
      </c>
      <c r="H516" s="93" t="s">
        <v>77</v>
      </c>
      <c r="I516" s="96">
        <f>IF(H516="ILF",IF($C$1="预估功能点",'模板使用说明&amp;基础参数'!$E$15,7),IF(H516="EIF",IF($C$1="预估功能点",'模板使用说明&amp;基础参数'!$E$16,5),IF(H516="EI",IF($C$1="预估功能点",'模板使用说明&amp;基础参数'!$E$17,'模板使用说明&amp;基础参数'!$E$24),IF(H516="EO",IF($C$1="预估功能点",'模板使用说明&amp;基础参数'!$E$18,'模板使用说明&amp;基础参数'!$E$25),IF(H516="EQ",IF($C$1="预估功能点",'模板使用说明&amp;基础参数'!$E$19,'模板使用说明&amp;基础参数'!$E$26),"")))))</f>
        <v>7</v>
      </c>
      <c r="J516" s="97" t="s">
        <v>38</v>
      </c>
      <c r="K516" s="97" t="s">
        <v>78</v>
      </c>
      <c r="L516" s="98">
        <f>IF(I516="","",IF(J516="高",IF(K516="删除",I516*'模板使用说明&amp;基础参数'!$E$5*'模板使用说明&amp;基础参数'!$E$12,IF(K516="修改",I516*'模板使用说明&amp;基础参数'!$E$5*'模板使用说明&amp;基础参数'!$E$11,I516*'模板使用说明&amp;基础参数'!$E$5*'模板使用说明&amp;基础参数'!$E$10)),IF(J516="中",IF(K516="删除",I516*'模板使用说明&amp;基础参数'!$E$6*'模板使用说明&amp;基础参数'!$E$12,IF(K516="修改",I516*'模板使用说明&amp;基础参数'!$E$6*'模板使用说明&amp;基础参数'!$E$11,I516*'模板使用说明&amp;基础参数'!$E$6*'模板使用说明&amp;基础参数'!$E$10)),IF(K516="删除",I516*'模板使用说明&amp;基础参数'!$E$7*'模板使用说明&amp;基础参数'!$E$12,IF(K516="修改",I516*'模板使用说明&amp;基础参数'!$E$7*'模板使用说明&amp;基础参数'!$E$11,I516*'模板使用说明&amp;基础参数'!$E$7*'模板使用说明&amp;基础参数'!$E$10)))))</f>
        <v>1.86666666666666</v>
      </c>
      <c r="M516" s="95"/>
      <c r="N516" s="99"/>
      <c r="O516" s="100"/>
    </row>
    <row r="517" s="70" customFormat="1" ht="25" customHeight="1" spans="1:15">
      <c r="A517" s="93">
        <v>512</v>
      </c>
      <c r="B517" s="94" t="s">
        <v>72</v>
      </c>
      <c r="C517" s="95" t="s">
        <v>508</v>
      </c>
      <c r="D517" s="95" t="s">
        <v>509</v>
      </c>
      <c r="E517" s="95" t="s">
        <v>509</v>
      </c>
      <c r="F517" s="95" t="s">
        <v>1124</v>
      </c>
      <c r="G517" s="95" t="s">
        <v>1125</v>
      </c>
      <c r="H517" s="93" t="s">
        <v>81</v>
      </c>
      <c r="I517" s="96">
        <f>IF(H517="ILF",IF($C$1="预估功能点",'模板使用说明&amp;基础参数'!$E$15,7),IF(H517="EIF",IF($C$1="预估功能点",'模板使用说明&amp;基础参数'!$E$16,5),IF(H517="EI",IF($C$1="预估功能点",'模板使用说明&amp;基础参数'!$E$17,'模板使用说明&amp;基础参数'!$E$24),IF(H517="EO",IF($C$1="预估功能点",'模板使用说明&amp;基础参数'!$E$18,'模板使用说明&amp;基础参数'!$E$25),IF(H517="EQ",IF($C$1="预估功能点",'模板使用说明&amp;基础参数'!$E$19,'模板使用说明&amp;基础参数'!$E$26),"")))))</f>
        <v>4</v>
      </c>
      <c r="J517" s="97" t="s">
        <v>38</v>
      </c>
      <c r="K517" s="97" t="s">
        <v>78</v>
      </c>
      <c r="L517" s="98">
        <f>IF(I517="","",IF(J517="高",IF(K517="删除",I517*'模板使用说明&amp;基础参数'!$E$5*'模板使用说明&amp;基础参数'!$E$12,IF(K517="修改",I517*'模板使用说明&amp;基础参数'!$E$5*'模板使用说明&amp;基础参数'!$E$11,I517*'模板使用说明&amp;基础参数'!$E$5*'模板使用说明&amp;基础参数'!$E$10)),IF(J517="中",IF(K517="删除",I517*'模板使用说明&amp;基础参数'!$E$6*'模板使用说明&amp;基础参数'!$E$12,IF(K517="修改",I517*'模板使用说明&amp;基础参数'!$E$6*'模板使用说明&amp;基础参数'!$E$11,I517*'模板使用说明&amp;基础参数'!$E$6*'模板使用说明&amp;基础参数'!$E$10)),IF(K517="删除",I517*'模板使用说明&amp;基础参数'!$E$7*'模板使用说明&amp;基础参数'!$E$12,IF(K517="修改",I517*'模板使用说明&amp;基础参数'!$E$7*'模板使用说明&amp;基础参数'!$E$11,I517*'模板使用说明&amp;基础参数'!$E$7*'模板使用说明&amp;基础参数'!$E$10)))))</f>
        <v>1.06666666666667</v>
      </c>
      <c r="M517" s="95"/>
      <c r="N517" s="99"/>
      <c r="O517" s="100"/>
    </row>
    <row r="518" s="70" customFormat="1" ht="25" customHeight="1" spans="1:15">
      <c r="A518" s="93">
        <v>513</v>
      </c>
      <c r="B518" s="94" t="s">
        <v>72</v>
      </c>
      <c r="C518" s="95" t="s">
        <v>508</v>
      </c>
      <c r="D518" s="95" t="s">
        <v>509</v>
      </c>
      <c r="E518" s="95" t="s">
        <v>509</v>
      </c>
      <c r="F518" s="95" t="s">
        <v>1126</v>
      </c>
      <c r="G518" s="95" t="s">
        <v>1127</v>
      </c>
      <c r="H518" s="93" t="s">
        <v>84</v>
      </c>
      <c r="I518" s="96">
        <f>IF(H518="ILF",IF($C$1="预估功能点",'模板使用说明&amp;基础参数'!$E$15,7),IF(H518="EIF",IF($C$1="预估功能点",'模板使用说明&amp;基础参数'!$E$16,5),IF(H518="EI",IF($C$1="预估功能点",'模板使用说明&amp;基础参数'!$E$17,'模板使用说明&amp;基础参数'!$E$24),IF(H518="EO",IF($C$1="预估功能点",'模板使用说明&amp;基础参数'!$E$18,'模板使用说明&amp;基础参数'!$E$25),IF(H518="EQ",IF($C$1="预估功能点",'模板使用说明&amp;基础参数'!$E$19,'模板使用说明&amp;基础参数'!$E$26),"")))))</f>
        <v>4</v>
      </c>
      <c r="J518" s="97" t="s">
        <v>38</v>
      </c>
      <c r="K518" s="97" t="s">
        <v>78</v>
      </c>
      <c r="L518" s="98">
        <f>IF(I518="","",IF(J518="高",IF(K518="删除",I518*'模板使用说明&amp;基础参数'!$E$5*'模板使用说明&amp;基础参数'!$E$12,IF(K518="修改",I518*'模板使用说明&amp;基础参数'!$E$5*'模板使用说明&amp;基础参数'!$E$11,I518*'模板使用说明&amp;基础参数'!$E$5*'模板使用说明&amp;基础参数'!$E$10)),IF(J518="中",IF(K518="删除",I518*'模板使用说明&amp;基础参数'!$E$6*'模板使用说明&amp;基础参数'!$E$12,IF(K518="修改",I518*'模板使用说明&amp;基础参数'!$E$6*'模板使用说明&amp;基础参数'!$E$11,I518*'模板使用说明&amp;基础参数'!$E$6*'模板使用说明&amp;基础参数'!$E$10)),IF(K518="删除",I518*'模板使用说明&amp;基础参数'!$E$7*'模板使用说明&amp;基础参数'!$E$12,IF(K518="修改",I518*'模板使用说明&amp;基础参数'!$E$7*'模板使用说明&amp;基础参数'!$E$11,I518*'模板使用说明&amp;基础参数'!$E$7*'模板使用说明&amp;基础参数'!$E$10)))))</f>
        <v>1.06666666666667</v>
      </c>
      <c r="M518" s="95"/>
      <c r="N518" s="99"/>
      <c r="O518" s="100"/>
    </row>
    <row r="519" s="70" customFormat="1" ht="25" customHeight="1" spans="1:15">
      <c r="A519" s="93">
        <v>514</v>
      </c>
      <c r="B519" s="94" t="s">
        <v>72</v>
      </c>
      <c r="C519" s="95" t="s">
        <v>508</v>
      </c>
      <c r="D519" s="95" t="s">
        <v>509</v>
      </c>
      <c r="E519" s="95" t="s">
        <v>509</v>
      </c>
      <c r="F519" s="95" t="s">
        <v>1128</v>
      </c>
      <c r="G519" s="95" t="s">
        <v>1129</v>
      </c>
      <c r="H519" s="93" t="s">
        <v>84</v>
      </c>
      <c r="I519" s="96">
        <f>IF(H519="ILF",IF($C$1="预估功能点",'模板使用说明&amp;基础参数'!$E$15,7),IF(H519="EIF",IF($C$1="预估功能点",'模板使用说明&amp;基础参数'!$E$16,5),IF(H519="EI",IF($C$1="预估功能点",'模板使用说明&amp;基础参数'!$E$17,'模板使用说明&amp;基础参数'!$E$24),IF(H519="EO",IF($C$1="预估功能点",'模板使用说明&amp;基础参数'!$E$18,'模板使用说明&amp;基础参数'!$E$25),IF(H519="EQ",IF($C$1="预估功能点",'模板使用说明&amp;基础参数'!$E$19,'模板使用说明&amp;基础参数'!$E$26),"")))))</f>
        <v>4</v>
      </c>
      <c r="J519" s="97" t="s">
        <v>38</v>
      </c>
      <c r="K519" s="97" t="s">
        <v>78</v>
      </c>
      <c r="L519" s="98">
        <f>IF(I519="","",IF(J519="高",IF(K519="删除",I519*'模板使用说明&amp;基础参数'!$E$5*'模板使用说明&amp;基础参数'!$E$12,IF(K519="修改",I519*'模板使用说明&amp;基础参数'!$E$5*'模板使用说明&amp;基础参数'!$E$11,I519*'模板使用说明&amp;基础参数'!$E$5*'模板使用说明&amp;基础参数'!$E$10)),IF(J519="中",IF(K519="删除",I519*'模板使用说明&amp;基础参数'!$E$6*'模板使用说明&amp;基础参数'!$E$12,IF(K519="修改",I519*'模板使用说明&amp;基础参数'!$E$6*'模板使用说明&amp;基础参数'!$E$11,I519*'模板使用说明&amp;基础参数'!$E$6*'模板使用说明&amp;基础参数'!$E$10)),IF(K519="删除",I519*'模板使用说明&amp;基础参数'!$E$7*'模板使用说明&amp;基础参数'!$E$12,IF(K519="修改",I519*'模板使用说明&amp;基础参数'!$E$7*'模板使用说明&amp;基础参数'!$E$11,I519*'模板使用说明&amp;基础参数'!$E$7*'模板使用说明&amp;基础参数'!$E$10)))))</f>
        <v>1.06666666666667</v>
      </c>
      <c r="M519" s="95"/>
      <c r="N519" s="99"/>
      <c r="O519" s="100"/>
    </row>
    <row r="520" s="70" customFormat="1" ht="25" customHeight="1" spans="1:15">
      <c r="A520" s="93">
        <v>515</v>
      </c>
      <c r="B520" s="94" t="s">
        <v>72</v>
      </c>
      <c r="C520" s="95" t="s">
        <v>508</v>
      </c>
      <c r="D520" s="95" t="s">
        <v>509</v>
      </c>
      <c r="E520" s="95" t="s">
        <v>509</v>
      </c>
      <c r="F520" s="95" t="s">
        <v>1130</v>
      </c>
      <c r="G520" s="95" t="s">
        <v>1131</v>
      </c>
      <c r="H520" s="93" t="s">
        <v>84</v>
      </c>
      <c r="I520" s="96">
        <f>IF(H520="ILF",IF($C$1="预估功能点",'模板使用说明&amp;基础参数'!$E$15,7),IF(H520="EIF",IF($C$1="预估功能点",'模板使用说明&amp;基础参数'!$E$16,5),IF(H520="EI",IF($C$1="预估功能点",'模板使用说明&amp;基础参数'!$E$17,'模板使用说明&amp;基础参数'!$E$24),IF(H520="EO",IF($C$1="预估功能点",'模板使用说明&amp;基础参数'!$E$18,'模板使用说明&amp;基础参数'!$E$25),IF(H520="EQ",IF($C$1="预估功能点",'模板使用说明&amp;基础参数'!$E$19,'模板使用说明&amp;基础参数'!$E$26),"")))))</f>
        <v>4</v>
      </c>
      <c r="J520" s="97" t="s">
        <v>38</v>
      </c>
      <c r="K520" s="97" t="s">
        <v>78</v>
      </c>
      <c r="L520" s="98">
        <f>IF(I520="","",IF(J520="高",IF(K520="删除",I520*'模板使用说明&amp;基础参数'!$E$5*'模板使用说明&amp;基础参数'!$E$12,IF(K520="修改",I520*'模板使用说明&amp;基础参数'!$E$5*'模板使用说明&amp;基础参数'!$E$11,I520*'模板使用说明&amp;基础参数'!$E$5*'模板使用说明&amp;基础参数'!$E$10)),IF(J520="中",IF(K520="删除",I520*'模板使用说明&amp;基础参数'!$E$6*'模板使用说明&amp;基础参数'!$E$12,IF(K520="修改",I520*'模板使用说明&amp;基础参数'!$E$6*'模板使用说明&amp;基础参数'!$E$11,I520*'模板使用说明&amp;基础参数'!$E$6*'模板使用说明&amp;基础参数'!$E$10)),IF(K520="删除",I520*'模板使用说明&amp;基础参数'!$E$7*'模板使用说明&amp;基础参数'!$E$12,IF(K520="修改",I520*'模板使用说明&amp;基础参数'!$E$7*'模板使用说明&amp;基础参数'!$E$11,I520*'模板使用说明&amp;基础参数'!$E$7*'模板使用说明&amp;基础参数'!$E$10)))))</f>
        <v>1.06666666666667</v>
      </c>
      <c r="M520" s="95"/>
      <c r="N520" s="99"/>
      <c r="O520" s="100"/>
    </row>
    <row r="521" s="70" customFormat="1" ht="25" customHeight="1" spans="1:15">
      <c r="A521" s="93">
        <v>516</v>
      </c>
      <c r="B521" s="94" t="s">
        <v>72</v>
      </c>
      <c r="C521" s="95" t="s">
        <v>508</v>
      </c>
      <c r="D521" s="95" t="s">
        <v>509</v>
      </c>
      <c r="E521" s="95" t="s">
        <v>509</v>
      </c>
      <c r="F521" s="95" t="s">
        <v>1132</v>
      </c>
      <c r="G521" s="95" t="s">
        <v>1133</v>
      </c>
      <c r="H521" s="93" t="s">
        <v>77</v>
      </c>
      <c r="I521" s="96">
        <f>IF(H521="ILF",IF($C$1="预估功能点",'模板使用说明&amp;基础参数'!$E$15,7),IF(H521="EIF",IF($C$1="预估功能点",'模板使用说明&amp;基础参数'!$E$16,5),IF(H521="EI",IF($C$1="预估功能点",'模板使用说明&amp;基础参数'!$E$17,'模板使用说明&amp;基础参数'!$E$24),IF(H521="EO",IF($C$1="预估功能点",'模板使用说明&amp;基础参数'!$E$18,'模板使用说明&amp;基础参数'!$E$25),IF(H521="EQ",IF($C$1="预估功能点",'模板使用说明&amp;基础参数'!$E$19,'模板使用说明&amp;基础参数'!$E$26),"")))))</f>
        <v>7</v>
      </c>
      <c r="J521" s="97" t="s">
        <v>38</v>
      </c>
      <c r="K521" s="97" t="s">
        <v>78</v>
      </c>
      <c r="L521" s="98">
        <f>IF(I521="","",IF(J521="高",IF(K521="删除",I521*'模板使用说明&amp;基础参数'!$E$5*'模板使用说明&amp;基础参数'!$E$12,IF(K521="修改",I521*'模板使用说明&amp;基础参数'!$E$5*'模板使用说明&amp;基础参数'!$E$11,I521*'模板使用说明&amp;基础参数'!$E$5*'模板使用说明&amp;基础参数'!$E$10)),IF(J521="中",IF(K521="删除",I521*'模板使用说明&amp;基础参数'!$E$6*'模板使用说明&amp;基础参数'!$E$12,IF(K521="修改",I521*'模板使用说明&amp;基础参数'!$E$6*'模板使用说明&amp;基础参数'!$E$11,I521*'模板使用说明&amp;基础参数'!$E$6*'模板使用说明&amp;基础参数'!$E$10)),IF(K521="删除",I521*'模板使用说明&amp;基础参数'!$E$7*'模板使用说明&amp;基础参数'!$E$12,IF(K521="修改",I521*'模板使用说明&amp;基础参数'!$E$7*'模板使用说明&amp;基础参数'!$E$11,I521*'模板使用说明&amp;基础参数'!$E$7*'模板使用说明&amp;基础参数'!$E$10)))))</f>
        <v>1.86666666666666</v>
      </c>
      <c r="M521" s="95"/>
      <c r="N521" s="99"/>
      <c r="O521" s="100"/>
    </row>
    <row r="522" s="70" customFormat="1" ht="25" customHeight="1" spans="1:15">
      <c r="A522" s="93">
        <v>517</v>
      </c>
      <c r="B522" s="94" t="s">
        <v>72</v>
      </c>
      <c r="C522" s="95" t="s">
        <v>508</v>
      </c>
      <c r="D522" s="95" t="s">
        <v>509</v>
      </c>
      <c r="E522" s="95" t="s">
        <v>509</v>
      </c>
      <c r="F522" s="95" t="s">
        <v>1134</v>
      </c>
      <c r="G522" s="95" t="s">
        <v>1135</v>
      </c>
      <c r="H522" s="93" t="s">
        <v>81</v>
      </c>
      <c r="I522" s="96">
        <f>IF(H522="ILF",IF($C$1="预估功能点",'模板使用说明&amp;基础参数'!$E$15,7),IF(H522="EIF",IF($C$1="预估功能点",'模板使用说明&amp;基础参数'!$E$16,5),IF(H522="EI",IF($C$1="预估功能点",'模板使用说明&amp;基础参数'!$E$17,'模板使用说明&amp;基础参数'!$E$24),IF(H522="EO",IF($C$1="预估功能点",'模板使用说明&amp;基础参数'!$E$18,'模板使用说明&amp;基础参数'!$E$25),IF(H522="EQ",IF($C$1="预估功能点",'模板使用说明&amp;基础参数'!$E$19,'模板使用说明&amp;基础参数'!$E$26),"")))))</f>
        <v>4</v>
      </c>
      <c r="J522" s="97" t="s">
        <v>38</v>
      </c>
      <c r="K522" s="97" t="s">
        <v>78</v>
      </c>
      <c r="L522" s="98">
        <f>IF(I522="","",IF(J522="高",IF(K522="删除",I522*'模板使用说明&amp;基础参数'!$E$5*'模板使用说明&amp;基础参数'!$E$12,IF(K522="修改",I522*'模板使用说明&amp;基础参数'!$E$5*'模板使用说明&amp;基础参数'!$E$11,I522*'模板使用说明&amp;基础参数'!$E$5*'模板使用说明&amp;基础参数'!$E$10)),IF(J522="中",IF(K522="删除",I522*'模板使用说明&amp;基础参数'!$E$6*'模板使用说明&amp;基础参数'!$E$12,IF(K522="修改",I522*'模板使用说明&amp;基础参数'!$E$6*'模板使用说明&amp;基础参数'!$E$11,I522*'模板使用说明&amp;基础参数'!$E$6*'模板使用说明&amp;基础参数'!$E$10)),IF(K522="删除",I522*'模板使用说明&amp;基础参数'!$E$7*'模板使用说明&amp;基础参数'!$E$12,IF(K522="修改",I522*'模板使用说明&amp;基础参数'!$E$7*'模板使用说明&amp;基础参数'!$E$11,I522*'模板使用说明&amp;基础参数'!$E$7*'模板使用说明&amp;基础参数'!$E$10)))))</f>
        <v>1.06666666666667</v>
      </c>
      <c r="M522" s="95"/>
      <c r="N522" s="99"/>
      <c r="O522" s="100"/>
    </row>
    <row r="523" s="70" customFormat="1" ht="25" customHeight="1" spans="1:15">
      <c r="A523" s="93">
        <v>518</v>
      </c>
      <c r="B523" s="94" t="s">
        <v>72</v>
      </c>
      <c r="C523" s="95" t="s">
        <v>508</v>
      </c>
      <c r="D523" s="95" t="s">
        <v>509</v>
      </c>
      <c r="E523" s="95" t="s">
        <v>509</v>
      </c>
      <c r="F523" s="95" t="s">
        <v>1136</v>
      </c>
      <c r="G523" s="95" t="s">
        <v>1137</v>
      </c>
      <c r="H523" s="93" t="s">
        <v>84</v>
      </c>
      <c r="I523" s="96">
        <f>IF(H523="ILF",IF($C$1="预估功能点",'模板使用说明&amp;基础参数'!$E$15,7),IF(H523="EIF",IF($C$1="预估功能点",'模板使用说明&amp;基础参数'!$E$16,5),IF(H523="EI",IF($C$1="预估功能点",'模板使用说明&amp;基础参数'!$E$17,'模板使用说明&amp;基础参数'!$E$24),IF(H523="EO",IF($C$1="预估功能点",'模板使用说明&amp;基础参数'!$E$18,'模板使用说明&amp;基础参数'!$E$25),IF(H523="EQ",IF($C$1="预估功能点",'模板使用说明&amp;基础参数'!$E$19,'模板使用说明&amp;基础参数'!$E$26),"")))))</f>
        <v>4</v>
      </c>
      <c r="J523" s="97" t="s">
        <v>38</v>
      </c>
      <c r="K523" s="97" t="s">
        <v>78</v>
      </c>
      <c r="L523" s="98">
        <f>IF(I523="","",IF(J523="高",IF(K523="删除",I523*'模板使用说明&amp;基础参数'!$E$5*'模板使用说明&amp;基础参数'!$E$12,IF(K523="修改",I523*'模板使用说明&amp;基础参数'!$E$5*'模板使用说明&amp;基础参数'!$E$11,I523*'模板使用说明&amp;基础参数'!$E$5*'模板使用说明&amp;基础参数'!$E$10)),IF(J523="中",IF(K523="删除",I523*'模板使用说明&amp;基础参数'!$E$6*'模板使用说明&amp;基础参数'!$E$12,IF(K523="修改",I523*'模板使用说明&amp;基础参数'!$E$6*'模板使用说明&amp;基础参数'!$E$11,I523*'模板使用说明&amp;基础参数'!$E$6*'模板使用说明&amp;基础参数'!$E$10)),IF(K523="删除",I523*'模板使用说明&amp;基础参数'!$E$7*'模板使用说明&amp;基础参数'!$E$12,IF(K523="修改",I523*'模板使用说明&amp;基础参数'!$E$7*'模板使用说明&amp;基础参数'!$E$11,I523*'模板使用说明&amp;基础参数'!$E$7*'模板使用说明&amp;基础参数'!$E$10)))))</f>
        <v>1.06666666666667</v>
      </c>
      <c r="M523" s="95"/>
      <c r="N523" s="99"/>
      <c r="O523" s="100"/>
    </row>
    <row r="524" s="70" customFormat="1" ht="25" customHeight="1" spans="1:15">
      <c r="A524" s="93">
        <v>519</v>
      </c>
      <c r="B524" s="94" t="s">
        <v>72</v>
      </c>
      <c r="C524" s="95" t="s">
        <v>508</v>
      </c>
      <c r="D524" s="95" t="s">
        <v>509</v>
      </c>
      <c r="E524" s="95" t="s">
        <v>509</v>
      </c>
      <c r="F524" s="95" t="s">
        <v>1138</v>
      </c>
      <c r="G524" s="95" t="s">
        <v>1139</v>
      </c>
      <c r="H524" s="93" t="s">
        <v>84</v>
      </c>
      <c r="I524" s="96">
        <f>IF(H524="ILF",IF($C$1="预估功能点",'模板使用说明&amp;基础参数'!$E$15,7),IF(H524="EIF",IF($C$1="预估功能点",'模板使用说明&amp;基础参数'!$E$16,5),IF(H524="EI",IF($C$1="预估功能点",'模板使用说明&amp;基础参数'!$E$17,'模板使用说明&amp;基础参数'!$E$24),IF(H524="EO",IF($C$1="预估功能点",'模板使用说明&amp;基础参数'!$E$18,'模板使用说明&amp;基础参数'!$E$25),IF(H524="EQ",IF($C$1="预估功能点",'模板使用说明&amp;基础参数'!$E$19,'模板使用说明&amp;基础参数'!$E$26),"")))))</f>
        <v>4</v>
      </c>
      <c r="J524" s="97" t="s">
        <v>38</v>
      </c>
      <c r="K524" s="97" t="s">
        <v>78</v>
      </c>
      <c r="L524" s="98">
        <f>IF(I524="","",IF(J524="高",IF(K524="删除",I524*'模板使用说明&amp;基础参数'!$E$5*'模板使用说明&amp;基础参数'!$E$12,IF(K524="修改",I524*'模板使用说明&amp;基础参数'!$E$5*'模板使用说明&amp;基础参数'!$E$11,I524*'模板使用说明&amp;基础参数'!$E$5*'模板使用说明&amp;基础参数'!$E$10)),IF(J524="中",IF(K524="删除",I524*'模板使用说明&amp;基础参数'!$E$6*'模板使用说明&amp;基础参数'!$E$12,IF(K524="修改",I524*'模板使用说明&amp;基础参数'!$E$6*'模板使用说明&amp;基础参数'!$E$11,I524*'模板使用说明&amp;基础参数'!$E$6*'模板使用说明&amp;基础参数'!$E$10)),IF(K524="删除",I524*'模板使用说明&amp;基础参数'!$E$7*'模板使用说明&amp;基础参数'!$E$12,IF(K524="修改",I524*'模板使用说明&amp;基础参数'!$E$7*'模板使用说明&amp;基础参数'!$E$11,I524*'模板使用说明&amp;基础参数'!$E$7*'模板使用说明&amp;基础参数'!$E$10)))))</f>
        <v>1.06666666666667</v>
      </c>
      <c r="M524" s="95"/>
      <c r="N524" s="99"/>
      <c r="O524" s="100"/>
    </row>
    <row r="525" s="70" customFormat="1" ht="25" customHeight="1" spans="1:15">
      <c r="A525" s="93">
        <v>520</v>
      </c>
      <c r="B525" s="94" t="s">
        <v>72</v>
      </c>
      <c r="C525" s="95" t="s">
        <v>508</v>
      </c>
      <c r="D525" s="95" t="s">
        <v>509</v>
      </c>
      <c r="E525" s="95" t="s">
        <v>509</v>
      </c>
      <c r="F525" s="95" t="s">
        <v>1140</v>
      </c>
      <c r="G525" s="95" t="s">
        <v>1141</v>
      </c>
      <c r="H525" s="93" t="s">
        <v>84</v>
      </c>
      <c r="I525" s="96">
        <f>IF(H525="ILF",IF($C$1="预估功能点",'模板使用说明&amp;基础参数'!$E$15,7),IF(H525="EIF",IF($C$1="预估功能点",'模板使用说明&amp;基础参数'!$E$16,5),IF(H525="EI",IF($C$1="预估功能点",'模板使用说明&amp;基础参数'!$E$17,'模板使用说明&amp;基础参数'!$E$24),IF(H525="EO",IF($C$1="预估功能点",'模板使用说明&amp;基础参数'!$E$18,'模板使用说明&amp;基础参数'!$E$25),IF(H525="EQ",IF($C$1="预估功能点",'模板使用说明&amp;基础参数'!$E$19,'模板使用说明&amp;基础参数'!$E$26),"")))))</f>
        <v>4</v>
      </c>
      <c r="J525" s="97" t="s">
        <v>38</v>
      </c>
      <c r="K525" s="97" t="s">
        <v>78</v>
      </c>
      <c r="L525" s="98">
        <f>IF(I525="","",IF(J525="高",IF(K525="删除",I525*'模板使用说明&amp;基础参数'!$E$5*'模板使用说明&amp;基础参数'!$E$12,IF(K525="修改",I525*'模板使用说明&amp;基础参数'!$E$5*'模板使用说明&amp;基础参数'!$E$11,I525*'模板使用说明&amp;基础参数'!$E$5*'模板使用说明&amp;基础参数'!$E$10)),IF(J525="中",IF(K525="删除",I525*'模板使用说明&amp;基础参数'!$E$6*'模板使用说明&amp;基础参数'!$E$12,IF(K525="修改",I525*'模板使用说明&amp;基础参数'!$E$6*'模板使用说明&amp;基础参数'!$E$11,I525*'模板使用说明&amp;基础参数'!$E$6*'模板使用说明&amp;基础参数'!$E$10)),IF(K525="删除",I525*'模板使用说明&amp;基础参数'!$E$7*'模板使用说明&amp;基础参数'!$E$12,IF(K525="修改",I525*'模板使用说明&amp;基础参数'!$E$7*'模板使用说明&amp;基础参数'!$E$11,I525*'模板使用说明&amp;基础参数'!$E$7*'模板使用说明&amp;基础参数'!$E$10)))))</f>
        <v>1.06666666666667</v>
      </c>
      <c r="M525" s="95"/>
      <c r="N525" s="99"/>
      <c r="O525" s="100"/>
    </row>
    <row r="526" s="70" customFormat="1" ht="25" customHeight="1" spans="1:15">
      <c r="A526" s="93">
        <v>521</v>
      </c>
      <c r="B526" s="94" t="s">
        <v>72</v>
      </c>
      <c r="C526" s="95" t="s">
        <v>840</v>
      </c>
      <c r="D526" s="95" t="s">
        <v>841</v>
      </c>
      <c r="E526" s="95" t="s">
        <v>841</v>
      </c>
      <c r="F526" s="95" t="s">
        <v>1142</v>
      </c>
      <c r="G526" s="95" t="s">
        <v>1143</v>
      </c>
      <c r="H526" s="93" t="s">
        <v>77</v>
      </c>
      <c r="I526" s="96">
        <f>IF(H526="ILF",IF($C$1="预估功能点",'模板使用说明&amp;基础参数'!$E$15,7),IF(H526="EIF",IF($C$1="预估功能点",'模板使用说明&amp;基础参数'!$E$16,5),IF(H526="EI",IF($C$1="预估功能点",'模板使用说明&amp;基础参数'!$E$17,'模板使用说明&amp;基础参数'!$E$24),IF(H526="EO",IF($C$1="预估功能点",'模板使用说明&amp;基础参数'!$E$18,'模板使用说明&amp;基础参数'!$E$25),IF(H526="EQ",IF($C$1="预估功能点",'模板使用说明&amp;基础参数'!$E$19,'模板使用说明&amp;基础参数'!$E$26),"")))))</f>
        <v>7</v>
      </c>
      <c r="J526" s="97" t="s">
        <v>38</v>
      </c>
      <c r="K526" s="97" t="s">
        <v>78</v>
      </c>
      <c r="L526" s="98">
        <f>IF(I526="","",IF(J526="高",IF(K526="删除",I526*'模板使用说明&amp;基础参数'!$E$5*'模板使用说明&amp;基础参数'!$E$12,IF(K526="修改",I526*'模板使用说明&amp;基础参数'!$E$5*'模板使用说明&amp;基础参数'!$E$11,I526*'模板使用说明&amp;基础参数'!$E$5*'模板使用说明&amp;基础参数'!$E$10)),IF(J526="中",IF(K526="删除",I526*'模板使用说明&amp;基础参数'!$E$6*'模板使用说明&amp;基础参数'!$E$12,IF(K526="修改",I526*'模板使用说明&amp;基础参数'!$E$6*'模板使用说明&amp;基础参数'!$E$11,I526*'模板使用说明&amp;基础参数'!$E$6*'模板使用说明&amp;基础参数'!$E$10)),IF(K526="删除",I526*'模板使用说明&amp;基础参数'!$E$7*'模板使用说明&amp;基础参数'!$E$12,IF(K526="修改",I526*'模板使用说明&amp;基础参数'!$E$7*'模板使用说明&amp;基础参数'!$E$11,I526*'模板使用说明&amp;基础参数'!$E$7*'模板使用说明&amp;基础参数'!$E$10)))))</f>
        <v>1.86666666666666</v>
      </c>
      <c r="M526" s="95"/>
      <c r="N526" s="99"/>
      <c r="O526" s="100"/>
    </row>
    <row r="527" s="70" customFormat="1" ht="25" customHeight="1" spans="1:15">
      <c r="A527" s="93">
        <v>522</v>
      </c>
      <c r="B527" s="94" t="s">
        <v>72</v>
      </c>
      <c r="C527" s="95" t="s">
        <v>840</v>
      </c>
      <c r="D527" s="95" t="s">
        <v>841</v>
      </c>
      <c r="E527" s="95" t="s">
        <v>841</v>
      </c>
      <c r="F527" s="95" t="s">
        <v>1144</v>
      </c>
      <c r="G527" s="95" t="s">
        <v>1145</v>
      </c>
      <c r="H527" s="93" t="s">
        <v>81</v>
      </c>
      <c r="I527" s="96">
        <f>IF(H527="ILF",IF($C$1="预估功能点",'模板使用说明&amp;基础参数'!$E$15,7),IF(H527="EIF",IF($C$1="预估功能点",'模板使用说明&amp;基础参数'!$E$16,5),IF(H527="EI",IF($C$1="预估功能点",'模板使用说明&amp;基础参数'!$E$17,'模板使用说明&amp;基础参数'!$E$24),IF(H527="EO",IF($C$1="预估功能点",'模板使用说明&amp;基础参数'!$E$18,'模板使用说明&amp;基础参数'!$E$25),IF(H527="EQ",IF($C$1="预估功能点",'模板使用说明&amp;基础参数'!$E$19,'模板使用说明&amp;基础参数'!$E$26),"")))))</f>
        <v>4</v>
      </c>
      <c r="J527" s="97" t="s">
        <v>38</v>
      </c>
      <c r="K527" s="97" t="s">
        <v>78</v>
      </c>
      <c r="L527" s="98">
        <f>IF(I527="","",IF(J527="高",IF(K527="删除",I527*'模板使用说明&amp;基础参数'!$E$5*'模板使用说明&amp;基础参数'!$E$12,IF(K527="修改",I527*'模板使用说明&amp;基础参数'!$E$5*'模板使用说明&amp;基础参数'!$E$11,I527*'模板使用说明&amp;基础参数'!$E$5*'模板使用说明&amp;基础参数'!$E$10)),IF(J527="中",IF(K527="删除",I527*'模板使用说明&amp;基础参数'!$E$6*'模板使用说明&amp;基础参数'!$E$12,IF(K527="修改",I527*'模板使用说明&amp;基础参数'!$E$6*'模板使用说明&amp;基础参数'!$E$11,I527*'模板使用说明&amp;基础参数'!$E$6*'模板使用说明&amp;基础参数'!$E$10)),IF(K527="删除",I527*'模板使用说明&amp;基础参数'!$E$7*'模板使用说明&amp;基础参数'!$E$12,IF(K527="修改",I527*'模板使用说明&amp;基础参数'!$E$7*'模板使用说明&amp;基础参数'!$E$11,I527*'模板使用说明&amp;基础参数'!$E$7*'模板使用说明&amp;基础参数'!$E$10)))))</f>
        <v>1.06666666666667</v>
      </c>
      <c r="M527" s="95"/>
      <c r="N527" s="99"/>
      <c r="O527" s="100"/>
    </row>
    <row r="528" s="70" customFormat="1" ht="25" customHeight="1" spans="1:15">
      <c r="A528" s="93">
        <v>523</v>
      </c>
      <c r="B528" s="94" t="s">
        <v>72</v>
      </c>
      <c r="C528" s="95" t="s">
        <v>840</v>
      </c>
      <c r="D528" s="95" t="s">
        <v>841</v>
      </c>
      <c r="E528" s="95" t="s">
        <v>841</v>
      </c>
      <c r="F528" s="95" t="s">
        <v>1146</v>
      </c>
      <c r="G528" s="95" t="s">
        <v>1147</v>
      </c>
      <c r="H528" s="93" t="s">
        <v>84</v>
      </c>
      <c r="I528" s="96">
        <f>IF(H528="ILF",IF($C$1="预估功能点",'模板使用说明&amp;基础参数'!$E$15,7),IF(H528="EIF",IF($C$1="预估功能点",'模板使用说明&amp;基础参数'!$E$16,5),IF(H528="EI",IF($C$1="预估功能点",'模板使用说明&amp;基础参数'!$E$17,'模板使用说明&amp;基础参数'!$E$24),IF(H528="EO",IF($C$1="预估功能点",'模板使用说明&amp;基础参数'!$E$18,'模板使用说明&amp;基础参数'!$E$25),IF(H528="EQ",IF($C$1="预估功能点",'模板使用说明&amp;基础参数'!$E$19,'模板使用说明&amp;基础参数'!$E$26),"")))))</f>
        <v>4</v>
      </c>
      <c r="J528" s="97" t="s">
        <v>38</v>
      </c>
      <c r="K528" s="97" t="s">
        <v>78</v>
      </c>
      <c r="L528" s="98">
        <f>IF(I528="","",IF(J528="高",IF(K528="删除",I528*'模板使用说明&amp;基础参数'!$E$5*'模板使用说明&amp;基础参数'!$E$12,IF(K528="修改",I528*'模板使用说明&amp;基础参数'!$E$5*'模板使用说明&amp;基础参数'!$E$11,I528*'模板使用说明&amp;基础参数'!$E$5*'模板使用说明&amp;基础参数'!$E$10)),IF(J528="中",IF(K528="删除",I528*'模板使用说明&amp;基础参数'!$E$6*'模板使用说明&amp;基础参数'!$E$12,IF(K528="修改",I528*'模板使用说明&amp;基础参数'!$E$6*'模板使用说明&amp;基础参数'!$E$11,I528*'模板使用说明&amp;基础参数'!$E$6*'模板使用说明&amp;基础参数'!$E$10)),IF(K528="删除",I528*'模板使用说明&amp;基础参数'!$E$7*'模板使用说明&amp;基础参数'!$E$12,IF(K528="修改",I528*'模板使用说明&amp;基础参数'!$E$7*'模板使用说明&amp;基础参数'!$E$11,I528*'模板使用说明&amp;基础参数'!$E$7*'模板使用说明&amp;基础参数'!$E$10)))))</f>
        <v>1.06666666666667</v>
      </c>
      <c r="M528" s="95"/>
      <c r="N528" s="99"/>
      <c r="O528" s="100"/>
    </row>
    <row r="529" s="70" customFormat="1" ht="25" customHeight="1" spans="1:15">
      <c r="A529" s="93">
        <v>524</v>
      </c>
      <c r="B529" s="94" t="s">
        <v>72</v>
      </c>
      <c r="C529" s="95" t="s">
        <v>840</v>
      </c>
      <c r="D529" s="95" t="s">
        <v>841</v>
      </c>
      <c r="E529" s="95" t="s">
        <v>841</v>
      </c>
      <c r="F529" s="95" t="s">
        <v>1148</v>
      </c>
      <c r="G529" s="95" t="s">
        <v>1149</v>
      </c>
      <c r="H529" s="93" t="s">
        <v>84</v>
      </c>
      <c r="I529" s="96">
        <f>IF(H529="ILF",IF($C$1="预估功能点",'模板使用说明&amp;基础参数'!$E$15,7),IF(H529="EIF",IF($C$1="预估功能点",'模板使用说明&amp;基础参数'!$E$16,5),IF(H529="EI",IF($C$1="预估功能点",'模板使用说明&amp;基础参数'!$E$17,'模板使用说明&amp;基础参数'!$E$24),IF(H529="EO",IF($C$1="预估功能点",'模板使用说明&amp;基础参数'!$E$18,'模板使用说明&amp;基础参数'!$E$25),IF(H529="EQ",IF($C$1="预估功能点",'模板使用说明&amp;基础参数'!$E$19,'模板使用说明&amp;基础参数'!$E$26),"")))))</f>
        <v>4</v>
      </c>
      <c r="J529" s="97" t="s">
        <v>38</v>
      </c>
      <c r="K529" s="97" t="s">
        <v>78</v>
      </c>
      <c r="L529" s="98">
        <f>IF(I529="","",IF(J529="高",IF(K529="删除",I529*'模板使用说明&amp;基础参数'!$E$5*'模板使用说明&amp;基础参数'!$E$12,IF(K529="修改",I529*'模板使用说明&amp;基础参数'!$E$5*'模板使用说明&amp;基础参数'!$E$11,I529*'模板使用说明&amp;基础参数'!$E$5*'模板使用说明&amp;基础参数'!$E$10)),IF(J529="中",IF(K529="删除",I529*'模板使用说明&amp;基础参数'!$E$6*'模板使用说明&amp;基础参数'!$E$12,IF(K529="修改",I529*'模板使用说明&amp;基础参数'!$E$6*'模板使用说明&amp;基础参数'!$E$11,I529*'模板使用说明&amp;基础参数'!$E$6*'模板使用说明&amp;基础参数'!$E$10)),IF(K529="删除",I529*'模板使用说明&amp;基础参数'!$E$7*'模板使用说明&amp;基础参数'!$E$12,IF(K529="修改",I529*'模板使用说明&amp;基础参数'!$E$7*'模板使用说明&amp;基础参数'!$E$11,I529*'模板使用说明&amp;基础参数'!$E$7*'模板使用说明&amp;基础参数'!$E$10)))))</f>
        <v>1.06666666666667</v>
      </c>
      <c r="M529" s="95"/>
      <c r="N529" s="99"/>
      <c r="O529" s="100"/>
    </row>
    <row r="530" s="70" customFormat="1" ht="25" customHeight="1" spans="1:15">
      <c r="A530" s="93">
        <v>525</v>
      </c>
      <c r="B530" s="94" t="s">
        <v>72</v>
      </c>
      <c r="C530" s="95" t="s">
        <v>840</v>
      </c>
      <c r="D530" s="95" t="s">
        <v>841</v>
      </c>
      <c r="E530" s="95" t="s">
        <v>841</v>
      </c>
      <c r="F530" s="95" t="s">
        <v>1150</v>
      </c>
      <c r="G530" s="95" t="s">
        <v>1151</v>
      </c>
      <c r="H530" s="93" t="s">
        <v>84</v>
      </c>
      <c r="I530" s="96">
        <f>IF(H530="ILF",IF($C$1="预估功能点",'模板使用说明&amp;基础参数'!$E$15,7),IF(H530="EIF",IF($C$1="预估功能点",'模板使用说明&amp;基础参数'!$E$16,5),IF(H530="EI",IF($C$1="预估功能点",'模板使用说明&amp;基础参数'!$E$17,'模板使用说明&amp;基础参数'!$E$24),IF(H530="EO",IF($C$1="预估功能点",'模板使用说明&amp;基础参数'!$E$18,'模板使用说明&amp;基础参数'!$E$25),IF(H530="EQ",IF($C$1="预估功能点",'模板使用说明&amp;基础参数'!$E$19,'模板使用说明&amp;基础参数'!$E$26),"")))))</f>
        <v>4</v>
      </c>
      <c r="J530" s="97" t="s">
        <v>38</v>
      </c>
      <c r="K530" s="97" t="s">
        <v>78</v>
      </c>
      <c r="L530" s="98">
        <f>IF(I530="","",IF(J530="高",IF(K530="删除",I530*'模板使用说明&amp;基础参数'!$E$5*'模板使用说明&amp;基础参数'!$E$12,IF(K530="修改",I530*'模板使用说明&amp;基础参数'!$E$5*'模板使用说明&amp;基础参数'!$E$11,I530*'模板使用说明&amp;基础参数'!$E$5*'模板使用说明&amp;基础参数'!$E$10)),IF(J530="中",IF(K530="删除",I530*'模板使用说明&amp;基础参数'!$E$6*'模板使用说明&amp;基础参数'!$E$12,IF(K530="修改",I530*'模板使用说明&amp;基础参数'!$E$6*'模板使用说明&amp;基础参数'!$E$11,I530*'模板使用说明&amp;基础参数'!$E$6*'模板使用说明&amp;基础参数'!$E$10)),IF(K530="删除",I530*'模板使用说明&amp;基础参数'!$E$7*'模板使用说明&amp;基础参数'!$E$12,IF(K530="修改",I530*'模板使用说明&amp;基础参数'!$E$7*'模板使用说明&amp;基础参数'!$E$11,I530*'模板使用说明&amp;基础参数'!$E$7*'模板使用说明&amp;基础参数'!$E$10)))))</f>
        <v>1.06666666666667</v>
      </c>
      <c r="M530" s="95"/>
      <c r="N530" s="99"/>
      <c r="O530" s="100"/>
    </row>
    <row r="531" s="70" customFormat="1" ht="25" customHeight="1" spans="1:15">
      <c r="A531" s="93">
        <v>526</v>
      </c>
      <c r="B531" s="94" t="s">
        <v>72</v>
      </c>
      <c r="C531" s="95" t="s">
        <v>840</v>
      </c>
      <c r="D531" s="95" t="s">
        <v>841</v>
      </c>
      <c r="E531" s="95" t="s">
        <v>841</v>
      </c>
      <c r="F531" s="95" t="s">
        <v>1152</v>
      </c>
      <c r="G531" s="95" t="s">
        <v>1153</v>
      </c>
      <c r="H531" s="93" t="s">
        <v>77</v>
      </c>
      <c r="I531" s="96">
        <f>IF(H531="ILF",IF($C$1="预估功能点",'模板使用说明&amp;基础参数'!$E$15,7),IF(H531="EIF",IF($C$1="预估功能点",'模板使用说明&amp;基础参数'!$E$16,5),IF(H531="EI",IF($C$1="预估功能点",'模板使用说明&amp;基础参数'!$E$17,'模板使用说明&amp;基础参数'!$E$24),IF(H531="EO",IF($C$1="预估功能点",'模板使用说明&amp;基础参数'!$E$18,'模板使用说明&amp;基础参数'!$E$25),IF(H531="EQ",IF($C$1="预估功能点",'模板使用说明&amp;基础参数'!$E$19,'模板使用说明&amp;基础参数'!$E$26),"")))))</f>
        <v>7</v>
      </c>
      <c r="J531" s="97" t="s">
        <v>38</v>
      </c>
      <c r="K531" s="97" t="s">
        <v>78</v>
      </c>
      <c r="L531" s="98">
        <f>IF(I531="","",IF(J531="高",IF(K531="删除",I531*'模板使用说明&amp;基础参数'!$E$5*'模板使用说明&amp;基础参数'!$E$12,IF(K531="修改",I531*'模板使用说明&amp;基础参数'!$E$5*'模板使用说明&amp;基础参数'!$E$11,I531*'模板使用说明&amp;基础参数'!$E$5*'模板使用说明&amp;基础参数'!$E$10)),IF(J531="中",IF(K531="删除",I531*'模板使用说明&amp;基础参数'!$E$6*'模板使用说明&amp;基础参数'!$E$12,IF(K531="修改",I531*'模板使用说明&amp;基础参数'!$E$6*'模板使用说明&amp;基础参数'!$E$11,I531*'模板使用说明&amp;基础参数'!$E$6*'模板使用说明&amp;基础参数'!$E$10)),IF(K531="删除",I531*'模板使用说明&amp;基础参数'!$E$7*'模板使用说明&amp;基础参数'!$E$12,IF(K531="修改",I531*'模板使用说明&amp;基础参数'!$E$7*'模板使用说明&amp;基础参数'!$E$11,I531*'模板使用说明&amp;基础参数'!$E$7*'模板使用说明&amp;基础参数'!$E$10)))))</f>
        <v>1.86666666666666</v>
      </c>
      <c r="M531" s="95"/>
      <c r="N531" s="99"/>
      <c r="O531" s="100"/>
    </row>
    <row r="532" s="70" customFormat="1" ht="25" customHeight="1" spans="1:15">
      <c r="A532" s="93">
        <v>527</v>
      </c>
      <c r="B532" s="94" t="s">
        <v>72</v>
      </c>
      <c r="C532" s="95" t="s">
        <v>840</v>
      </c>
      <c r="D532" s="95" t="s">
        <v>841</v>
      </c>
      <c r="E532" s="95" t="s">
        <v>841</v>
      </c>
      <c r="F532" s="95" t="s">
        <v>1154</v>
      </c>
      <c r="G532" s="95" t="s">
        <v>1155</v>
      </c>
      <c r="H532" s="93" t="s">
        <v>81</v>
      </c>
      <c r="I532" s="96">
        <f>IF(H532="ILF",IF($C$1="预估功能点",'模板使用说明&amp;基础参数'!$E$15,7),IF(H532="EIF",IF($C$1="预估功能点",'模板使用说明&amp;基础参数'!$E$16,5),IF(H532="EI",IF($C$1="预估功能点",'模板使用说明&amp;基础参数'!$E$17,'模板使用说明&amp;基础参数'!$E$24),IF(H532="EO",IF($C$1="预估功能点",'模板使用说明&amp;基础参数'!$E$18,'模板使用说明&amp;基础参数'!$E$25),IF(H532="EQ",IF($C$1="预估功能点",'模板使用说明&amp;基础参数'!$E$19,'模板使用说明&amp;基础参数'!$E$26),"")))))</f>
        <v>4</v>
      </c>
      <c r="J532" s="97" t="s">
        <v>38</v>
      </c>
      <c r="K532" s="97" t="s">
        <v>78</v>
      </c>
      <c r="L532" s="98">
        <f>IF(I532="","",IF(J532="高",IF(K532="删除",I532*'模板使用说明&amp;基础参数'!$E$5*'模板使用说明&amp;基础参数'!$E$12,IF(K532="修改",I532*'模板使用说明&amp;基础参数'!$E$5*'模板使用说明&amp;基础参数'!$E$11,I532*'模板使用说明&amp;基础参数'!$E$5*'模板使用说明&amp;基础参数'!$E$10)),IF(J532="中",IF(K532="删除",I532*'模板使用说明&amp;基础参数'!$E$6*'模板使用说明&amp;基础参数'!$E$12,IF(K532="修改",I532*'模板使用说明&amp;基础参数'!$E$6*'模板使用说明&amp;基础参数'!$E$11,I532*'模板使用说明&amp;基础参数'!$E$6*'模板使用说明&amp;基础参数'!$E$10)),IF(K532="删除",I532*'模板使用说明&amp;基础参数'!$E$7*'模板使用说明&amp;基础参数'!$E$12,IF(K532="修改",I532*'模板使用说明&amp;基础参数'!$E$7*'模板使用说明&amp;基础参数'!$E$11,I532*'模板使用说明&amp;基础参数'!$E$7*'模板使用说明&amp;基础参数'!$E$10)))))</f>
        <v>1.06666666666667</v>
      </c>
      <c r="M532" s="95"/>
      <c r="N532" s="99"/>
      <c r="O532" s="100"/>
    </row>
    <row r="533" s="70" customFormat="1" ht="25" customHeight="1" spans="1:15">
      <c r="A533" s="93">
        <v>528</v>
      </c>
      <c r="B533" s="94" t="s">
        <v>72</v>
      </c>
      <c r="C533" s="95" t="s">
        <v>840</v>
      </c>
      <c r="D533" s="95" t="s">
        <v>841</v>
      </c>
      <c r="E533" s="95" t="s">
        <v>841</v>
      </c>
      <c r="F533" s="95" t="s">
        <v>1156</v>
      </c>
      <c r="G533" s="95" t="s">
        <v>1157</v>
      </c>
      <c r="H533" s="93" t="s">
        <v>84</v>
      </c>
      <c r="I533" s="96">
        <f>IF(H533="ILF",IF($C$1="预估功能点",'模板使用说明&amp;基础参数'!$E$15,7),IF(H533="EIF",IF($C$1="预估功能点",'模板使用说明&amp;基础参数'!$E$16,5),IF(H533="EI",IF($C$1="预估功能点",'模板使用说明&amp;基础参数'!$E$17,'模板使用说明&amp;基础参数'!$E$24),IF(H533="EO",IF($C$1="预估功能点",'模板使用说明&amp;基础参数'!$E$18,'模板使用说明&amp;基础参数'!$E$25),IF(H533="EQ",IF($C$1="预估功能点",'模板使用说明&amp;基础参数'!$E$19,'模板使用说明&amp;基础参数'!$E$26),"")))))</f>
        <v>4</v>
      </c>
      <c r="J533" s="97" t="s">
        <v>38</v>
      </c>
      <c r="K533" s="97" t="s">
        <v>78</v>
      </c>
      <c r="L533" s="98">
        <f>IF(I533="","",IF(J533="高",IF(K533="删除",I533*'模板使用说明&amp;基础参数'!$E$5*'模板使用说明&amp;基础参数'!$E$12,IF(K533="修改",I533*'模板使用说明&amp;基础参数'!$E$5*'模板使用说明&amp;基础参数'!$E$11,I533*'模板使用说明&amp;基础参数'!$E$5*'模板使用说明&amp;基础参数'!$E$10)),IF(J533="中",IF(K533="删除",I533*'模板使用说明&amp;基础参数'!$E$6*'模板使用说明&amp;基础参数'!$E$12,IF(K533="修改",I533*'模板使用说明&amp;基础参数'!$E$6*'模板使用说明&amp;基础参数'!$E$11,I533*'模板使用说明&amp;基础参数'!$E$6*'模板使用说明&amp;基础参数'!$E$10)),IF(K533="删除",I533*'模板使用说明&amp;基础参数'!$E$7*'模板使用说明&amp;基础参数'!$E$12,IF(K533="修改",I533*'模板使用说明&amp;基础参数'!$E$7*'模板使用说明&amp;基础参数'!$E$11,I533*'模板使用说明&amp;基础参数'!$E$7*'模板使用说明&amp;基础参数'!$E$10)))))</f>
        <v>1.06666666666667</v>
      </c>
      <c r="M533" s="95"/>
      <c r="N533" s="99"/>
      <c r="O533" s="100"/>
    </row>
    <row r="534" s="70" customFormat="1" ht="25" customHeight="1" spans="1:15">
      <c r="A534" s="93">
        <v>529</v>
      </c>
      <c r="B534" s="94" t="s">
        <v>72</v>
      </c>
      <c r="C534" s="95" t="s">
        <v>840</v>
      </c>
      <c r="D534" s="95" t="s">
        <v>841</v>
      </c>
      <c r="E534" s="95" t="s">
        <v>841</v>
      </c>
      <c r="F534" s="95" t="s">
        <v>1158</v>
      </c>
      <c r="G534" s="95" t="s">
        <v>1159</v>
      </c>
      <c r="H534" s="93" t="s">
        <v>84</v>
      </c>
      <c r="I534" s="96">
        <f>IF(H534="ILF",IF($C$1="预估功能点",'模板使用说明&amp;基础参数'!$E$15,7),IF(H534="EIF",IF($C$1="预估功能点",'模板使用说明&amp;基础参数'!$E$16,5),IF(H534="EI",IF($C$1="预估功能点",'模板使用说明&amp;基础参数'!$E$17,'模板使用说明&amp;基础参数'!$E$24),IF(H534="EO",IF($C$1="预估功能点",'模板使用说明&amp;基础参数'!$E$18,'模板使用说明&amp;基础参数'!$E$25),IF(H534="EQ",IF($C$1="预估功能点",'模板使用说明&amp;基础参数'!$E$19,'模板使用说明&amp;基础参数'!$E$26),"")))))</f>
        <v>4</v>
      </c>
      <c r="J534" s="97" t="s">
        <v>38</v>
      </c>
      <c r="K534" s="97" t="s">
        <v>78</v>
      </c>
      <c r="L534" s="98">
        <f>IF(I534="","",IF(J534="高",IF(K534="删除",I534*'模板使用说明&amp;基础参数'!$E$5*'模板使用说明&amp;基础参数'!$E$12,IF(K534="修改",I534*'模板使用说明&amp;基础参数'!$E$5*'模板使用说明&amp;基础参数'!$E$11,I534*'模板使用说明&amp;基础参数'!$E$5*'模板使用说明&amp;基础参数'!$E$10)),IF(J534="中",IF(K534="删除",I534*'模板使用说明&amp;基础参数'!$E$6*'模板使用说明&amp;基础参数'!$E$12,IF(K534="修改",I534*'模板使用说明&amp;基础参数'!$E$6*'模板使用说明&amp;基础参数'!$E$11,I534*'模板使用说明&amp;基础参数'!$E$6*'模板使用说明&amp;基础参数'!$E$10)),IF(K534="删除",I534*'模板使用说明&amp;基础参数'!$E$7*'模板使用说明&amp;基础参数'!$E$12,IF(K534="修改",I534*'模板使用说明&amp;基础参数'!$E$7*'模板使用说明&amp;基础参数'!$E$11,I534*'模板使用说明&amp;基础参数'!$E$7*'模板使用说明&amp;基础参数'!$E$10)))))</f>
        <v>1.06666666666667</v>
      </c>
      <c r="M534" s="95"/>
      <c r="N534" s="99"/>
      <c r="O534" s="100"/>
    </row>
    <row r="535" s="70" customFormat="1" ht="25" customHeight="1" spans="1:15">
      <c r="A535" s="93">
        <v>530</v>
      </c>
      <c r="B535" s="94" t="s">
        <v>72</v>
      </c>
      <c r="C535" s="95" t="s">
        <v>840</v>
      </c>
      <c r="D535" s="95" t="s">
        <v>841</v>
      </c>
      <c r="E535" s="95" t="s">
        <v>841</v>
      </c>
      <c r="F535" s="95" t="s">
        <v>1160</v>
      </c>
      <c r="G535" s="95" t="s">
        <v>1161</v>
      </c>
      <c r="H535" s="93" t="s">
        <v>84</v>
      </c>
      <c r="I535" s="96">
        <f>IF(H535="ILF",IF($C$1="预估功能点",'模板使用说明&amp;基础参数'!$E$15,7),IF(H535="EIF",IF($C$1="预估功能点",'模板使用说明&amp;基础参数'!$E$16,5),IF(H535="EI",IF($C$1="预估功能点",'模板使用说明&amp;基础参数'!$E$17,'模板使用说明&amp;基础参数'!$E$24),IF(H535="EO",IF($C$1="预估功能点",'模板使用说明&amp;基础参数'!$E$18,'模板使用说明&amp;基础参数'!$E$25),IF(H535="EQ",IF($C$1="预估功能点",'模板使用说明&amp;基础参数'!$E$19,'模板使用说明&amp;基础参数'!$E$26),"")))))</f>
        <v>4</v>
      </c>
      <c r="J535" s="97" t="s">
        <v>38</v>
      </c>
      <c r="K535" s="97" t="s">
        <v>78</v>
      </c>
      <c r="L535" s="98">
        <f>IF(I535="","",IF(J535="高",IF(K535="删除",I535*'模板使用说明&amp;基础参数'!$E$5*'模板使用说明&amp;基础参数'!$E$12,IF(K535="修改",I535*'模板使用说明&amp;基础参数'!$E$5*'模板使用说明&amp;基础参数'!$E$11,I535*'模板使用说明&amp;基础参数'!$E$5*'模板使用说明&amp;基础参数'!$E$10)),IF(J535="中",IF(K535="删除",I535*'模板使用说明&amp;基础参数'!$E$6*'模板使用说明&amp;基础参数'!$E$12,IF(K535="修改",I535*'模板使用说明&amp;基础参数'!$E$6*'模板使用说明&amp;基础参数'!$E$11,I535*'模板使用说明&amp;基础参数'!$E$6*'模板使用说明&amp;基础参数'!$E$10)),IF(K535="删除",I535*'模板使用说明&amp;基础参数'!$E$7*'模板使用说明&amp;基础参数'!$E$12,IF(K535="修改",I535*'模板使用说明&amp;基础参数'!$E$7*'模板使用说明&amp;基础参数'!$E$11,I535*'模板使用说明&amp;基础参数'!$E$7*'模板使用说明&amp;基础参数'!$E$10)))))</f>
        <v>1.06666666666667</v>
      </c>
      <c r="M535" s="95"/>
      <c r="N535" s="99"/>
      <c r="O535" s="100"/>
    </row>
    <row r="536" s="70" customFormat="1" ht="25" customHeight="1" spans="1:15">
      <c r="A536" s="93">
        <v>531</v>
      </c>
      <c r="B536" s="94" t="s">
        <v>72</v>
      </c>
      <c r="C536" s="95" t="s">
        <v>840</v>
      </c>
      <c r="D536" s="95" t="s">
        <v>841</v>
      </c>
      <c r="E536" s="95" t="s">
        <v>841</v>
      </c>
      <c r="F536" s="95" t="s">
        <v>1162</v>
      </c>
      <c r="G536" s="95" t="s">
        <v>1163</v>
      </c>
      <c r="H536" s="93" t="s">
        <v>77</v>
      </c>
      <c r="I536" s="96">
        <f>IF(H536="ILF",IF($C$1="预估功能点",'模板使用说明&amp;基础参数'!$E$15,7),IF(H536="EIF",IF($C$1="预估功能点",'模板使用说明&amp;基础参数'!$E$16,5),IF(H536="EI",IF($C$1="预估功能点",'模板使用说明&amp;基础参数'!$E$17,'模板使用说明&amp;基础参数'!$E$24),IF(H536="EO",IF($C$1="预估功能点",'模板使用说明&amp;基础参数'!$E$18,'模板使用说明&amp;基础参数'!$E$25),IF(H536="EQ",IF($C$1="预估功能点",'模板使用说明&amp;基础参数'!$E$19,'模板使用说明&amp;基础参数'!$E$26),"")))))</f>
        <v>7</v>
      </c>
      <c r="J536" s="97" t="s">
        <v>38</v>
      </c>
      <c r="K536" s="97" t="s">
        <v>78</v>
      </c>
      <c r="L536" s="98">
        <f>IF(I536="","",IF(J536="高",IF(K536="删除",I536*'模板使用说明&amp;基础参数'!$E$5*'模板使用说明&amp;基础参数'!$E$12,IF(K536="修改",I536*'模板使用说明&amp;基础参数'!$E$5*'模板使用说明&amp;基础参数'!$E$11,I536*'模板使用说明&amp;基础参数'!$E$5*'模板使用说明&amp;基础参数'!$E$10)),IF(J536="中",IF(K536="删除",I536*'模板使用说明&amp;基础参数'!$E$6*'模板使用说明&amp;基础参数'!$E$12,IF(K536="修改",I536*'模板使用说明&amp;基础参数'!$E$6*'模板使用说明&amp;基础参数'!$E$11,I536*'模板使用说明&amp;基础参数'!$E$6*'模板使用说明&amp;基础参数'!$E$10)),IF(K536="删除",I536*'模板使用说明&amp;基础参数'!$E$7*'模板使用说明&amp;基础参数'!$E$12,IF(K536="修改",I536*'模板使用说明&amp;基础参数'!$E$7*'模板使用说明&amp;基础参数'!$E$11,I536*'模板使用说明&amp;基础参数'!$E$7*'模板使用说明&amp;基础参数'!$E$10)))))</f>
        <v>1.86666666666666</v>
      </c>
      <c r="M536" s="95"/>
      <c r="N536" s="99"/>
      <c r="O536" s="100"/>
    </row>
    <row r="537" s="70" customFormat="1" ht="25" customHeight="1" spans="1:15">
      <c r="A537" s="93">
        <v>532</v>
      </c>
      <c r="B537" s="94" t="s">
        <v>72</v>
      </c>
      <c r="C537" s="95" t="s">
        <v>840</v>
      </c>
      <c r="D537" s="95" t="s">
        <v>841</v>
      </c>
      <c r="E537" s="95" t="s">
        <v>841</v>
      </c>
      <c r="F537" s="95" t="s">
        <v>1164</v>
      </c>
      <c r="G537" s="95" t="s">
        <v>1165</v>
      </c>
      <c r="H537" s="93" t="s">
        <v>81</v>
      </c>
      <c r="I537" s="96">
        <f>IF(H537="ILF",IF($C$1="预估功能点",'模板使用说明&amp;基础参数'!$E$15,7),IF(H537="EIF",IF($C$1="预估功能点",'模板使用说明&amp;基础参数'!$E$16,5),IF(H537="EI",IF($C$1="预估功能点",'模板使用说明&amp;基础参数'!$E$17,'模板使用说明&amp;基础参数'!$E$24),IF(H537="EO",IF($C$1="预估功能点",'模板使用说明&amp;基础参数'!$E$18,'模板使用说明&amp;基础参数'!$E$25),IF(H537="EQ",IF($C$1="预估功能点",'模板使用说明&amp;基础参数'!$E$19,'模板使用说明&amp;基础参数'!$E$26),"")))))</f>
        <v>4</v>
      </c>
      <c r="J537" s="97" t="s">
        <v>38</v>
      </c>
      <c r="K537" s="97" t="s">
        <v>78</v>
      </c>
      <c r="L537" s="98">
        <f>IF(I537="","",IF(J537="高",IF(K537="删除",I537*'模板使用说明&amp;基础参数'!$E$5*'模板使用说明&amp;基础参数'!$E$12,IF(K537="修改",I537*'模板使用说明&amp;基础参数'!$E$5*'模板使用说明&amp;基础参数'!$E$11,I537*'模板使用说明&amp;基础参数'!$E$5*'模板使用说明&amp;基础参数'!$E$10)),IF(J537="中",IF(K537="删除",I537*'模板使用说明&amp;基础参数'!$E$6*'模板使用说明&amp;基础参数'!$E$12,IF(K537="修改",I537*'模板使用说明&amp;基础参数'!$E$6*'模板使用说明&amp;基础参数'!$E$11,I537*'模板使用说明&amp;基础参数'!$E$6*'模板使用说明&amp;基础参数'!$E$10)),IF(K537="删除",I537*'模板使用说明&amp;基础参数'!$E$7*'模板使用说明&amp;基础参数'!$E$12,IF(K537="修改",I537*'模板使用说明&amp;基础参数'!$E$7*'模板使用说明&amp;基础参数'!$E$11,I537*'模板使用说明&amp;基础参数'!$E$7*'模板使用说明&amp;基础参数'!$E$10)))))</f>
        <v>1.06666666666667</v>
      </c>
      <c r="M537" s="95"/>
      <c r="N537" s="99"/>
      <c r="O537" s="100"/>
    </row>
    <row r="538" s="70" customFormat="1" ht="25" customHeight="1" spans="1:15">
      <c r="A538" s="93">
        <v>533</v>
      </c>
      <c r="B538" s="94" t="s">
        <v>72</v>
      </c>
      <c r="C538" s="95" t="s">
        <v>840</v>
      </c>
      <c r="D538" s="95" t="s">
        <v>841</v>
      </c>
      <c r="E538" s="95" t="s">
        <v>841</v>
      </c>
      <c r="F538" s="95" t="s">
        <v>1166</v>
      </c>
      <c r="G538" s="95" t="s">
        <v>1167</v>
      </c>
      <c r="H538" s="93" t="s">
        <v>84</v>
      </c>
      <c r="I538" s="96">
        <f>IF(H538="ILF",IF($C$1="预估功能点",'模板使用说明&amp;基础参数'!$E$15,7),IF(H538="EIF",IF($C$1="预估功能点",'模板使用说明&amp;基础参数'!$E$16,5),IF(H538="EI",IF($C$1="预估功能点",'模板使用说明&amp;基础参数'!$E$17,'模板使用说明&amp;基础参数'!$E$24),IF(H538="EO",IF($C$1="预估功能点",'模板使用说明&amp;基础参数'!$E$18,'模板使用说明&amp;基础参数'!$E$25),IF(H538="EQ",IF($C$1="预估功能点",'模板使用说明&amp;基础参数'!$E$19,'模板使用说明&amp;基础参数'!$E$26),"")))))</f>
        <v>4</v>
      </c>
      <c r="J538" s="97" t="s">
        <v>38</v>
      </c>
      <c r="K538" s="97" t="s">
        <v>78</v>
      </c>
      <c r="L538" s="98">
        <f>IF(I538="","",IF(J538="高",IF(K538="删除",I538*'模板使用说明&amp;基础参数'!$E$5*'模板使用说明&amp;基础参数'!$E$12,IF(K538="修改",I538*'模板使用说明&amp;基础参数'!$E$5*'模板使用说明&amp;基础参数'!$E$11,I538*'模板使用说明&amp;基础参数'!$E$5*'模板使用说明&amp;基础参数'!$E$10)),IF(J538="中",IF(K538="删除",I538*'模板使用说明&amp;基础参数'!$E$6*'模板使用说明&amp;基础参数'!$E$12,IF(K538="修改",I538*'模板使用说明&amp;基础参数'!$E$6*'模板使用说明&amp;基础参数'!$E$11,I538*'模板使用说明&amp;基础参数'!$E$6*'模板使用说明&amp;基础参数'!$E$10)),IF(K538="删除",I538*'模板使用说明&amp;基础参数'!$E$7*'模板使用说明&amp;基础参数'!$E$12,IF(K538="修改",I538*'模板使用说明&amp;基础参数'!$E$7*'模板使用说明&amp;基础参数'!$E$11,I538*'模板使用说明&amp;基础参数'!$E$7*'模板使用说明&amp;基础参数'!$E$10)))))</f>
        <v>1.06666666666667</v>
      </c>
      <c r="M538" s="95"/>
      <c r="N538" s="99"/>
      <c r="O538" s="100"/>
    </row>
    <row r="539" s="70" customFormat="1" ht="25" customHeight="1" spans="1:15">
      <c r="A539" s="93">
        <v>534</v>
      </c>
      <c r="B539" s="94" t="s">
        <v>72</v>
      </c>
      <c r="C539" s="95" t="s">
        <v>840</v>
      </c>
      <c r="D539" s="95" t="s">
        <v>841</v>
      </c>
      <c r="E539" s="95" t="s">
        <v>841</v>
      </c>
      <c r="F539" s="95" t="s">
        <v>1168</v>
      </c>
      <c r="G539" s="95" t="s">
        <v>1169</v>
      </c>
      <c r="H539" s="93" t="s">
        <v>84</v>
      </c>
      <c r="I539" s="96">
        <f>IF(H539="ILF",IF($C$1="预估功能点",'模板使用说明&amp;基础参数'!$E$15,7),IF(H539="EIF",IF($C$1="预估功能点",'模板使用说明&amp;基础参数'!$E$16,5),IF(H539="EI",IF($C$1="预估功能点",'模板使用说明&amp;基础参数'!$E$17,'模板使用说明&amp;基础参数'!$E$24),IF(H539="EO",IF($C$1="预估功能点",'模板使用说明&amp;基础参数'!$E$18,'模板使用说明&amp;基础参数'!$E$25),IF(H539="EQ",IF($C$1="预估功能点",'模板使用说明&amp;基础参数'!$E$19,'模板使用说明&amp;基础参数'!$E$26),"")))))</f>
        <v>4</v>
      </c>
      <c r="J539" s="97" t="s">
        <v>38</v>
      </c>
      <c r="K539" s="97" t="s">
        <v>78</v>
      </c>
      <c r="L539" s="98">
        <f>IF(I539="","",IF(J539="高",IF(K539="删除",I539*'模板使用说明&amp;基础参数'!$E$5*'模板使用说明&amp;基础参数'!$E$12,IF(K539="修改",I539*'模板使用说明&amp;基础参数'!$E$5*'模板使用说明&amp;基础参数'!$E$11,I539*'模板使用说明&amp;基础参数'!$E$5*'模板使用说明&amp;基础参数'!$E$10)),IF(J539="中",IF(K539="删除",I539*'模板使用说明&amp;基础参数'!$E$6*'模板使用说明&amp;基础参数'!$E$12,IF(K539="修改",I539*'模板使用说明&amp;基础参数'!$E$6*'模板使用说明&amp;基础参数'!$E$11,I539*'模板使用说明&amp;基础参数'!$E$6*'模板使用说明&amp;基础参数'!$E$10)),IF(K539="删除",I539*'模板使用说明&amp;基础参数'!$E$7*'模板使用说明&amp;基础参数'!$E$12,IF(K539="修改",I539*'模板使用说明&amp;基础参数'!$E$7*'模板使用说明&amp;基础参数'!$E$11,I539*'模板使用说明&amp;基础参数'!$E$7*'模板使用说明&amp;基础参数'!$E$10)))))</f>
        <v>1.06666666666667</v>
      </c>
      <c r="M539" s="95"/>
      <c r="N539" s="99"/>
      <c r="O539" s="100"/>
    </row>
    <row r="540" s="70" customFormat="1" ht="25" customHeight="1" spans="1:15">
      <c r="A540" s="93">
        <v>535</v>
      </c>
      <c r="B540" s="94" t="s">
        <v>72</v>
      </c>
      <c r="C540" s="95" t="s">
        <v>840</v>
      </c>
      <c r="D540" s="95" t="s">
        <v>841</v>
      </c>
      <c r="E540" s="95" t="s">
        <v>841</v>
      </c>
      <c r="F540" s="95" t="s">
        <v>1170</v>
      </c>
      <c r="G540" s="95" t="s">
        <v>1171</v>
      </c>
      <c r="H540" s="93" t="s">
        <v>84</v>
      </c>
      <c r="I540" s="96">
        <f>IF(H540="ILF",IF($C$1="预估功能点",'模板使用说明&amp;基础参数'!$E$15,7),IF(H540="EIF",IF($C$1="预估功能点",'模板使用说明&amp;基础参数'!$E$16,5),IF(H540="EI",IF($C$1="预估功能点",'模板使用说明&amp;基础参数'!$E$17,'模板使用说明&amp;基础参数'!$E$24),IF(H540="EO",IF($C$1="预估功能点",'模板使用说明&amp;基础参数'!$E$18,'模板使用说明&amp;基础参数'!$E$25),IF(H540="EQ",IF($C$1="预估功能点",'模板使用说明&amp;基础参数'!$E$19,'模板使用说明&amp;基础参数'!$E$26),"")))))</f>
        <v>4</v>
      </c>
      <c r="J540" s="97" t="s">
        <v>38</v>
      </c>
      <c r="K540" s="97" t="s">
        <v>78</v>
      </c>
      <c r="L540" s="98">
        <f>IF(I540="","",IF(J540="高",IF(K540="删除",I540*'模板使用说明&amp;基础参数'!$E$5*'模板使用说明&amp;基础参数'!$E$12,IF(K540="修改",I540*'模板使用说明&amp;基础参数'!$E$5*'模板使用说明&amp;基础参数'!$E$11,I540*'模板使用说明&amp;基础参数'!$E$5*'模板使用说明&amp;基础参数'!$E$10)),IF(J540="中",IF(K540="删除",I540*'模板使用说明&amp;基础参数'!$E$6*'模板使用说明&amp;基础参数'!$E$12,IF(K540="修改",I540*'模板使用说明&amp;基础参数'!$E$6*'模板使用说明&amp;基础参数'!$E$11,I540*'模板使用说明&amp;基础参数'!$E$6*'模板使用说明&amp;基础参数'!$E$10)),IF(K540="删除",I540*'模板使用说明&amp;基础参数'!$E$7*'模板使用说明&amp;基础参数'!$E$12,IF(K540="修改",I540*'模板使用说明&amp;基础参数'!$E$7*'模板使用说明&amp;基础参数'!$E$11,I540*'模板使用说明&amp;基础参数'!$E$7*'模板使用说明&amp;基础参数'!$E$10)))))</f>
        <v>1.06666666666667</v>
      </c>
      <c r="M540" s="95"/>
      <c r="N540" s="99"/>
      <c r="O540" s="100"/>
    </row>
    <row r="541" s="70" customFormat="1" ht="25" customHeight="1" spans="1:15">
      <c r="A541" s="93">
        <v>536</v>
      </c>
      <c r="B541" s="94" t="s">
        <v>72</v>
      </c>
      <c r="C541" s="95" t="s">
        <v>840</v>
      </c>
      <c r="D541" s="95" t="s">
        <v>841</v>
      </c>
      <c r="E541" s="95" t="s">
        <v>841</v>
      </c>
      <c r="F541" s="95" t="s">
        <v>1172</v>
      </c>
      <c r="G541" s="95" t="s">
        <v>1173</v>
      </c>
      <c r="H541" s="93" t="s">
        <v>77</v>
      </c>
      <c r="I541" s="96">
        <f>IF(H541="ILF",IF($C$1="预估功能点",'模板使用说明&amp;基础参数'!$E$15,7),IF(H541="EIF",IF($C$1="预估功能点",'模板使用说明&amp;基础参数'!$E$16,5),IF(H541="EI",IF($C$1="预估功能点",'模板使用说明&amp;基础参数'!$E$17,'模板使用说明&amp;基础参数'!$E$24),IF(H541="EO",IF($C$1="预估功能点",'模板使用说明&amp;基础参数'!$E$18,'模板使用说明&amp;基础参数'!$E$25),IF(H541="EQ",IF($C$1="预估功能点",'模板使用说明&amp;基础参数'!$E$19,'模板使用说明&amp;基础参数'!$E$26),"")))))</f>
        <v>7</v>
      </c>
      <c r="J541" s="97" t="s">
        <v>38</v>
      </c>
      <c r="K541" s="97" t="s">
        <v>78</v>
      </c>
      <c r="L541" s="98">
        <f>IF(I541="","",IF(J541="高",IF(K541="删除",I541*'模板使用说明&amp;基础参数'!$E$5*'模板使用说明&amp;基础参数'!$E$12,IF(K541="修改",I541*'模板使用说明&amp;基础参数'!$E$5*'模板使用说明&amp;基础参数'!$E$11,I541*'模板使用说明&amp;基础参数'!$E$5*'模板使用说明&amp;基础参数'!$E$10)),IF(J541="中",IF(K541="删除",I541*'模板使用说明&amp;基础参数'!$E$6*'模板使用说明&amp;基础参数'!$E$12,IF(K541="修改",I541*'模板使用说明&amp;基础参数'!$E$6*'模板使用说明&amp;基础参数'!$E$11,I541*'模板使用说明&amp;基础参数'!$E$6*'模板使用说明&amp;基础参数'!$E$10)),IF(K541="删除",I541*'模板使用说明&amp;基础参数'!$E$7*'模板使用说明&amp;基础参数'!$E$12,IF(K541="修改",I541*'模板使用说明&amp;基础参数'!$E$7*'模板使用说明&amp;基础参数'!$E$11,I541*'模板使用说明&amp;基础参数'!$E$7*'模板使用说明&amp;基础参数'!$E$10)))))</f>
        <v>1.86666666666666</v>
      </c>
      <c r="M541" s="95"/>
      <c r="N541" s="99"/>
      <c r="O541" s="100"/>
    </row>
    <row r="542" s="70" customFormat="1" ht="25" customHeight="1" spans="1:15">
      <c r="A542" s="93">
        <v>537</v>
      </c>
      <c r="B542" s="94" t="s">
        <v>72</v>
      </c>
      <c r="C542" s="95" t="s">
        <v>840</v>
      </c>
      <c r="D542" s="95" t="s">
        <v>841</v>
      </c>
      <c r="E542" s="95" t="s">
        <v>841</v>
      </c>
      <c r="F542" s="95" t="s">
        <v>1174</v>
      </c>
      <c r="G542" s="95" t="s">
        <v>1175</v>
      </c>
      <c r="H542" s="93" t="s">
        <v>81</v>
      </c>
      <c r="I542" s="96">
        <f>IF(H542="ILF",IF($C$1="预估功能点",'模板使用说明&amp;基础参数'!$E$15,7),IF(H542="EIF",IF($C$1="预估功能点",'模板使用说明&amp;基础参数'!$E$16,5),IF(H542="EI",IF($C$1="预估功能点",'模板使用说明&amp;基础参数'!$E$17,'模板使用说明&amp;基础参数'!$E$24),IF(H542="EO",IF($C$1="预估功能点",'模板使用说明&amp;基础参数'!$E$18,'模板使用说明&amp;基础参数'!$E$25),IF(H542="EQ",IF($C$1="预估功能点",'模板使用说明&amp;基础参数'!$E$19,'模板使用说明&amp;基础参数'!$E$26),"")))))</f>
        <v>4</v>
      </c>
      <c r="J542" s="97" t="s">
        <v>38</v>
      </c>
      <c r="K542" s="97" t="s">
        <v>78</v>
      </c>
      <c r="L542" s="98">
        <f>IF(I542="","",IF(J542="高",IF(K542="删除",I542*'模板使用说明&amp;基础参数'!$E$5*'模板使用说明&amp;基础参数'!$E$12,IF(K542="修改",I542*'模板使用说明&amp;基础参数'!$E$5*'模板使用说明&amp;基础参数'!$E$11,I542*'模板使用说明&amp;基础参数'!$E$5*'模板使用说明&amp;基础参数'!$E$10)),IF(J542="中",IF(K542="删除",I542*'模板使用说明&amp;基础参数'!$E$6*'模板使用说明&amp;基础参数'!$E$12,IF(K542="修改",I542*'模板使用说明&amp;基础参数'!$E$6*'模板使用说明&amp;基础参数'!$E$11,I542*'模板使用说明&amp;基础参数'!$E$6*'模板使用说明&amp;基础参数'!$E$10)),IF(K542="删除",I542*'模板使用说明&amp;基础参数'!$E$7*'模板使用说明&amp;基础参数'!$E$12,IF(K542="修改",I542*'模板使用说明&amp;基础参数'!$E$7*'模板使用说明&amp;基础参数'!$E$11,I542*'模板使用说明&amp;基础参数'!$E$7*'模板使用说明&amp;基础参数'!$E$10)))))</f>
        <v>1.06666666666667</v>
      </c>
      <c r="M542" s="95"/>
      <c r="N542" s="99"/>
      <c r="O542" s="100"/>
    </row>
    <row r="543" s="70" customFormat="1" ht="25" customHeight="1" spans="1:15">
      <c r="A543" s="93">
        <v>538</v>
      </c>
      <c r="B543" s="94" t="s">
        <v>72</v>
      </c>
      <c r="C543" s="95" t="s">
        <v>840</v>
      </c>
      <c r="D543" s="95" t="s">
        <v>841</v>
      </c>
      <c r="E543" s="95" t="s">
        <v>841</v>
      </c>
      <c r="F543" s="95" t="s">
        <v>1176</v>
      </c>
      <c r="G543" s="95" t="s">
        <v>1177</v>
      </c>
      <c r="H543" s="93" t="s">
        <v>84</v>
      </c>
      <c r="I543" s="96">
        <f>IF(H543="ILF",IF($C$1="预估功能点",'模板使用说明&amp;基础参数'!$E$15,7),IF(H543="EIF",IF($C$1="预估功能点",'模板使用说明&amp;基础参数'!$E$16,5),IF(H543="EI",IF($C$1="预估功能点",'模板使用说明&amp;基础参数'!$E$17,'模板使用说明&amp;基础参数'!$E$24),IF(H543="EO",IF($C$1="预估功能点",'模板使用说明&amp;基础参数'!$E$18,'模板使用说明&amp;基础参数'!$E$25),IF(H543="EQ",IF($C$1="预估功能点",'模板使用说明&amp;基础参数'!$E$19,'模板使用说明&amp;基础参数'!$E$26),"")))))</f>
        <v>4</v>
      </c>
      <c r="J543" s="97" t="s">
        <v>38</v>
      </c>
      <c r="K543" s="97" t="s">
        <v>78</v>
      </c>
      <c r="L543" s="98">
        <f>IF(I543="","",IF(J543="高",IF(K543="删除",I543*'模板使用说明&amp;基础参数'!$E$5*'模板使用说明&amp;基础参数'!$E$12,IF(K543="修改",I543*'模板使用说明&amp;基础参数'!$E$5*'模板使用说明&amp;基础参数'!$E$11,I543*'模板使用说明&amp;基础参数'!$E$5*'模板使用说明&amp;基础参数'!$E$10)),IF(J543="中",IF(K543="删除",I543*'模板使用说明&amp;基础参数'!$E$6*'模板使用说明&amp;基础参数'!$E$12,IF(K543="修改",I543*'模板使用说明&amp;基础参数'!$E$6*'模板使用说明&amp;基础参数'!$E$11,I543*'模板使用说明&amp;基础参数'!$E$6*'模板使用说明&amp;基础参数'!$E$10)),IF(K543="删除",I543*'模板使用说明&amp;基础参数'!$E$7*'模板使用说明&amp;基础参数'!$E$12,IF(K543="修改",I543*'模板使用说明&amp;基础参数'!$E$7*'模板使用说明&amp;基础参数'!$E$11,I543*'模板使用说明&amp;基础参数'!$E$7*'模板使用说明&amp;基础参数'!$E$10)))))</f>
        <v>1.06666666666667</v>
      </c>
      <c r="M543" s="95"/>
      <c r="N543" s="99"/>
      <c r="O543" s="100"/>
    </row>
    <row r="544" s="70" customFormat="1" ht="25" customHeight="1" spans="1:15">
      <c r="A544" s="93">
        <v>539</v>
      </c>
      <c r="B544" s="94" t="s">
        <v>72</v>
      </c>
      <c r="C544" s="95" t="s">
        <v>840</v>
      </c>
      <c r="D544" s="95" t="s">
        <v>841</v>
      </c>
      <c r="E544" s="95" t="s">
        <v>841</v>
      </c>
      <c r="F544" s="95" t="s">
        <v>1178</v>
      </c>
      <c r="G544" s="95" t="s">
        <v>1179</v>
      </c>
      <c r="H544" s="93" t="s">
        <v>84</v>
      </c>
      <c r="I544" s="96">
        <f>IF(H544="ILF",IF($C$1="预估功能点",'模板使用说明&amp;基础参数'!$E$15,7),IF(H544="EIF",IF($C$1="预估功能点",'模板使用说明&amp;基础参数'!$E$16,5),IF(H544="EI",IF($C$1="预估功能点",'模板使用说明&amp;基础参数'!$E$17,'模板使用说明&amp;基础参数'!$E$24),IF(H544="EO",IF($C$1="预估功能点",'模板使用说明&amp;基础参数'!$E$18,'模板使用说明&amp;基础参数'!$E$25),IF(H544="EQ",IF($C$1="预估功能点",'模板使用说明&amp;基础参数'!$E$19,'模板使用说明&amp;基础参数'!$E$26),"")))))</f>
        <v>4</v>
      </c>
      <c r="J544" s="97" t="s">
        <v>38</v>
      </c>
      <c r="K544" s="97" t="s">
        <v>78</v>
      </c>
      <c r="L544" s="98">
        <f>IF(I544="","",IF(J544="高",IF(K544="删除",I544*'模板使用说明&amp;基础参数'!$E$5*'模板使用说明&amp;基础参数'!$E$12,IF(K544="修改",I544*'模板使用说明&amp;基础参数'!$E$5*'模板使用说明&amp;基础参数'!$E$11,I544*'模板使用说明&amp;基础参数'!$E$5*'模板使用说明&amp;基础参数'!$E$10)),IF(J544="中",IF(K544="删除",I544*'模板使用说明&amp;基础参数'!$E$6*'模板使用说明&amp;基础参数'!$E$12,IF(K544="修改",I544*'模板使用说明&amp;基础参数'!$E$6*'模板使用说明&amp;基础参数'!$E$11,I544*'模板使用说明&amp;基础参数'!$E$6*'模板使用说明&amp;基础参数'!$E$10)),IF(K544="删除",I544*'模板使用说明&amp;基础参数'!$E$7*'模板使用说明&amp;基础参数'!$E$12,IF(K544="修改",I544*'模板使用说明&amp;基础参数'!$E$7*'模板使用说明&amp;基础参数'!$E$11,I544*'模板使用说明&amp;基础参数'!$E$7*'模板使用说明&amp;基础参数'!$E$10)))))</f>
        <v>1.06666666666667</v>
      </c>
      <c r="M544" s="95"/>
      <c r="N544" s="99"/>
      <c r="O544" s="100"/>
    </row>
    <row r="545" s="70" customFormat="1" ht="25" customHeight="1" spans="1:15">
      <c r="A545" s="93">
        <v>540</v>
      </c>
      <c r="B545" s="94" t="s">
        <v>72</v>
      </c>
      <c r="C545" s="95" t="s">
        <v>840</v>
      </c>
      <c r="D545" s="95" t="s">
        <v>841</v>
      </c>
      <c r="E545" s="95" t="s">
        <v>841</v>
      </c>
      <c r="F545" s="95" t="s">
        <v>1180</v>
      </c>
      <c r="G545" s="95" t="s">
        <v>1181</v>
      </c>
      <c r="H545" s="93" t="s">
        <v>84</v>
      </c>
      <c r="I545" s="96">
        <f>IF(H545="ILF",IF($C$1="预估功能点",'模板使用说明&amp;基础参数'!$E$15,7),IF(H545="EIF",IF($C$1="预估功能点",'模板使用说明&amp;基础参数'!$E$16,5),IF(H545="EI",IF($C$1="预估功能点",'模板使用说明&amp;基础参数'!$E$17,'模板使用说明&amp;基础参数'!$E$24),IF(H545="EO",IF($C$1="预估功能点",'模板使用说明&amp;基础参数'!$E$18,'模板使用说明&amp;基础参数'!$E$25),IF(H545="EQ",IF($C$1="预估功能点",'模板使用说明&amp;基础参数'!$E$19,'模板使用说明&amp;基础参数'!$E$26),"")))))</f>
        <v>4</v>
      </c>
      <c r="J545" s="97" t="s">
        <v>38</v>
      </c>
      <c r="K545" s="97" t="s">
        <v>78</v>
      </c>
      <c r="L545" s="98">
        <f>IF(I545="","",IF(J545="高",IF(K545="删除",I545*'模板使用说明&amp;基础参数'!$E$5*'模板使用说明&amp;基础参数'!$E$12,IF(K545="修改",I545*'模板使用说明&amp;基础参数'!$E$5*'模板使用说明&amp;基础参数'!$E$11,I545*'模板使用说明&amp;基础参数'!$E$5*'模板使用说明&amp;基础参数'!$E$10)),IF(J545="中",IF(K545="删除",I545*'模板使用说明&amp;基础参数'!$E$6*'模板使用说明&amp;基础参数'!$E$12,IF(K545="修改",I545*'模板使用说明&amp;基础参数'!$E$6*'模板使用说明&amp;基础参数'!$E$11,I545*'模板使用说明&amp;基础参数'!$E$6*'模板使用说明&amp;基础参数'!$E$10)),IF(K545="删除",I545*'模板使用说明&amp;基础参数'!$E$7*'模板使用说明&amp;基础参数'!$E$12,IF(K545="修改",I545*'模板使用说明&amp;基础参数'!$E$7*'模板使用说明&amp;基础参数'!$E$11,I545*'模板使用说明&amp;基础参数'!$E$7*'模板使用说明&amp;基础参数'!$E$10)))))</f>
        <v>1.06666666666667</v>
      </c>
      <c r="M545" s="95"/>
      <c r="N545" s="99"/>
      <c r="O545" s="100"/>
    </row>
    <row r="546" s="70" customFormat="1" ht="25" customHeight="1" spans="1:15">
      <c r="A546" s="93">
        <v>541</v>
      </c>
      <c r="B546" s="94" t="s">
        <v>72</v>
      </c>
      <c r="C546" s="95" t="s">
        <v>73</v>
      </c>
      <c r="D546" s="95" t="s">
        <v>74</v>
      </c>
      <c r="E546" s="95" t="s">
        <v>74</v>
      </c>
      <c r="F546" s="95" t="s">
        <v>1182</v>
      </c>
      <c r="G546" s="95" t="s">
        <v>1183</v>
      </c>
      <c r="H546" s="93" t="s">
        <v>77</v>
      </c>
      <c r="I546" s="96">
        <f>IF(H546="ILF",IF($C$1="预估功能点",'模板使用说明&amp;基础参数'!$E$15,7),IF(H546="EIF",IF($C$1="预估功能点",'模板使用说明&amp;基础参数'!$E$16,5),IF(H546="EI",IF($C$1="预估功能点",'模板使用说明&amp;基础参数'!$E$17,'模板使用说明&amp;基础参数'!$E$24),IF(H546="EO",IF($C$1="预估功能点",'模板使用说明&amp;基础参数'!$E$18,'模板使用说明&amp;基础参数'!$E$25),IF(H546="EQ",IF($C$1="预估功能点",'模板使用说明&amp;基础参数'!$E$19,'模板使用说明&amp;基础参数'!$E$26),"")))))</f>
        <v>7</v>
      </c>
      <c r="J546" s="97" t="s">
        <v>38</v>
      </c>
      <c r="K546" s="97" t="s">
        <v>78</v>
      </c>
      <c r="L546" s="98">
        <f>IF(I546="","",IF(J546="高",IF(K546="删除",I546*'模板使用说明&amp;基础参数'!$E$5*'模板使用说明&amp;基础参数'!$E$12,IF(K546="修改",I546*'模板使用说明&amp;基础参数'!$E$5*'模板使用说明&amp;基础参数'!$E$11,I546*'模板使用说明&amp;基础参数'!$E$5*'模板使用说明&amp;基础参数'!$E$10)),IF(J546="中",IF(K546="删除",I546*'模板使用说明&amp;基础参数'!$E$6*'模板使用说明&amp;基础参数'!$E$12,IF(K546="修改",I546*'模板使用说明&amp;基础参数'!$E$6*'模板使用说明&amp;基础参数'!$E$11,I546*'模板使用说明&amp;基础参数'!$E$6*'模板使用说明&amp;基础参数'!$E$10)),IF(K546="删除",I546*'模板使用说明&amp;基础参数'!$E$7*'模板使用说明&amp;基础参数'!$E$12,IF(K546="修改",I546*'模板使用说明&amp;基础参数'!$E$7*'模板使用说明&amp;基础参数'!$E$11,I546*'模板使用说明&amp;基础参数'!$E$7*'模板使用说明&amp;基础参数'!$E$10)))))</f>
        <v>1.86666666666666</v>
      </c>
      <c r="M546" s="95"/>
      <c r="N546" s="99"/>
      <c r="O546" s="100"/>
    </row>
    <row r="547" s="70" customFormat="1" ht="25" customHeight="1" spans="1:15">
      <c r="A547" s="93">
        <v>542</v>
      </c>
      <c r="B547" s="94" t="s">
        <v>72</v>
      </c>
      <c r="C547" s="95" t="s">
        <v>73</v>
      </c>
      <c r="D547" s="95" t="s">
        <v>74</v>
      </c>
      <c r="E547" s="95" t="s">
        <v>74</v>
      </c>
      <c r="F547" s="95" t="s">
        <v>1184</v>
      </c>
      <c r="G547" s="95" t="s">
        <v>1185</v>
      </c>
      <c r="H547" s="93" t="s">
        <v>81</v>
      </c>
      <c r="I547" s="96">
        <f>IF(H547="ILF",IF($C$1="预估功能点",'模板使用说明&amp;基础参数'!$E$15,7),IF(H547="EIF",IF($C$1="预估功能点",'模板使用说明&amp;基础参数'!$E$16,5),IF(H547="EI",IF($C$1="预估功能点",'模板使用说明&amp;基础参数'!$E$17,'模板使用说明&amp;基础参数'!$E$24),IF(H547="EO",IF($C$1="预估功能点",'模板使用说明&amp;基础参数'!$E$18,'模板使用说明&amp;基础参数'!$E$25),IF(H547="EQ",IF($C$1="预估功能点",'模板使用说明&amp;基础参数'!$E$19,'模板使用说明&amp;基础参数'!$E$26),"")))))</f>
        <v>4</v>
      </c>
      <c r="J547" s="97" t="s">
        <v>38</v>
      </c>
      <c r="K547" s="97" t="s">
        <v>78</v>
      </c>
      <c r="L547" s="98">
        <f>IF(I547="","",IF(J547="高",IF(K547="删除",I547*'模板使用说明&amp;基础参数'!$E$5*'模板使用说明&amp;基础参数'!$E$12,IF(K547="修改",I547*'模板使用说明&amp;基础参数'!$E$5*'模板使用说明&amp;基础参数'!$E$11,I547*'模板使用说明&amp;基础参数'!$E$5*'模板使用说明&amp;基础参数'!$E$10)),IF(J547="中",IF(K547="删除",I547*'模板使用说明&amp;基础参数'!$E$6*'模板使用说明&amp;基础参数'!$E$12,IF(K547="修改",I547*'模板使用说明&amp;基础参数'!$E$6*'模板使用说明&amp;基础参数'!$E$11,I547*'模板使用说明&amp;基础参数'!$E$6*'模板使用说明&amp;基础参数'!$E$10)),IF(K547="删除",I547*'模板使用说明&amp;基础参数'!$E$7*'模板使用说明&amp;基础参数'!$E$12,IF(K547="修改",I547*'模板使用说明&amp;基础参数'!$E$7*'模板使用说明&amp;基础参数'!$E$11,I547*'模板使用说明&amp;基础参数'!$E$7*'模板使用说明&amp;基础参数'!$E$10)))))</f>
        <v>1.06666666666667</v>
      </c>
      <c r="M547" s="95"/>
      <c r="N547" s="99"/>
      <c r="O547" s="100"/>
    </row>
    <row r="548" s="70" customFormat="1" ht="25" customHeight="1" spans="1:15">
      <c r="A548" s="93">
        <v>543</v>
      </c>
      <c r="B548" s="94" t="s">
        <v>72</v>
      </c>
      <c r="C548" s="95" t="s">
        <v>73</v>
      </c>
      <c r="D548" s="95" t="s">
        <v>74</v>
      </c>
      <c r="E548" s="95" t="s">
        <v>74</v>
      </c>
      <c r="F548" s="95" t="s">
        <v>1186</v>
      </c>
      <c r="G548" s="95" t="s">
        <v>1187</v>
      </c>
      <c r="H548" s="93" t="s">
        <v>84</v>
      </c>
      <c r="I548" s="96">
        <f>IF(H548="ILF",IF($C$1="预估功能点",'模板使用说明&amp;基础参数'!$E$15,7),IF(H548="EIF",IF($C$1="预估功能点",'模板使用说明&amp;基础参数'!$E$16,5),IF(H548="EI",IF($C$1="预估功能点",'模板使用说明&amp;基础参数'!$E$17,'模板使用说明&amp;基础参数'!$E$24),IF(H548="EO",IF($C$1="预估功能点",'模板使用说明&amp;基础参数'!$E$18,'模板使用说明&amp;基础参数'!$E$25),IF(H548="EQ",IF($C$1="预估功能点",'模板使用说明&amp;基础参数'!$E$19,'模板使用说明&amp;基础参数'!$E$26),"")))))</f>
        <v>4</v>
      </c>
      <c r="J548" s="97" t="s">
        <v>38</v>
      </c>
      <c r="K548" s="97" t="s">
        <v>78</v>
      </c>
      <c r="L548" s="98">
        <f>IF(I548="","",IF(J548="高",IF(K548="删除",I548*'模板使用说明&amp;基础参数'!$E$5*'模板使用说明&amp;基础参数'!$E$12,IF(K548="修改",I548*'模板使用说明&amp;基础参数'!$E$5*'模板使用说明&amp;基础参数'!$E$11,I548*'模板使用说明&amp;基础参数'!$E$5*'模板使用说明&amp;基础参数'!$E$10)),IF(J548="中",IF(K548="删除",I548*'模板使用说明&amp;基础参数'!$E$6*'模板使用说明&amp;基础参数'!$E$12,IF(K548="修改",I548*'模板使用说明&amp;基础参数'!$E$6*'模板使用说明&amp;基础参数'!$E$11,I548*'模板使用说明&amp;基础参数'!$E$6*'模板使用说明&amp;基础参数'!$E$10)),IF(K548="删除",I548*'模板使用说明&amp;基础参数'!$E$7*'模板使用说明&amp;基础参数'!$E$12,IF(K548="修改",I548*'模板使用说明&amp;基础参数'!$E$7*'模板使用说明&amp;基础参数'!$E$11,I548*'模板使用说明&amp;基础参数'!$E$7*'模板使用说明&amp;基础参数'!$E$10)))))</f>
        <v>1.06666666666667</v>
      </c>
      <c r="M548" s="95"/>
      <c r="N548" s="99"/>
      <c r="O548" s="100"/>
    </row>
    <row r="549" s="70" customFormat="1" ht="25" customHeight="1" spans="1:15">
      <c r="A549" s="93">
        <v>544</v>
      </c>
      <c r="B549" s="94" t="s">
        <v>72</v>
      </c>
      <c r="C549" s="95" t="s">
        <v>73</v>
      </c>
      <c r="D549" s="95" t="s">
        <v>74</v>
      </c>
      <c r="E549" s="95" t="s">
        <v>74</v>
      </c>
      <c r="F549" s="95" t="s">
        <v>1188</v>
      </c>
      <c r="G549" s="95" t="s">
        <v>1189</v>
      </c>
      <c r="H549" s="93" t="s">
        <v>84</v>
      </c>
      <c r="I549" s="96">
        <f>IF(H549="ILF",IF($C$1="预估功能点",'模板使用说明&amp;基础参数'!$E$15,7),IF(H549="EIF",IF($C$1="预估功能点",'模板使用说明&amp;基础参数'!$E$16,5),IF(H549="EI",IF($C$1="预估功能点",'模板使用说明&amp;基础参数'!$E$17,'模板使用说明&amp;基础参数'!$E$24),IF(H549="EO",IF($C$1="预估功能点",'模板使用说明&amp;基础参数'!$E$18,'模板使用说明&amp;基础参数'!$E$25),IF(H549="EQ",IF($C$1="预估功能点",'模板使用说明&amp;基础参数'!$E$19,'模板使用说明&amp;基础参数'!$E$26),"")))))</f>
        <v>4</v>
      </c>
      <c r="J549" s="97" t="s">
        <v>38</v>
      </c>
      <c r="K549" s="97" t="s">
        <v>78</v>
      </c>
      <c r="L549" s="98">
        <f>IF(I549="","",IF(J549="高",IF(K549="删除",I549*'模板使用说明&amp;基础参数'!$E$5*'模板使用说明&amp;基础参数'!$E$12,IF(K549="修改",I549*'模板使用说明&amp;基础参数'!$E$5*'模板使用说明&amp;基础参数'!$E$11,I549*'模板使用说明&amp;基础参数'!$E$5*'模板使用说明&amp;基础参数'!$E$10)),IF(J549="中",IF(K549="删除",I549*'模板使用说明&amp;基础参数'!$E$6*'模板使用说明&amp;基础参数'!$E$12,IF(K549="修改",I549*'模板使用说明&amp;基础参数'!$E$6*'模板使用说明&amp;基础参数'!$E$11,I549*'模板使用说明&amp;基础参数'!$E$6*'模板使用说明&amp;基础参数'!$E$10)),IF(K549="删除",I549*'模板使用说明&amp;基础参数'!$E$7*'模板使用说明&amp;基础参数'!$E$12,IF(K549="修改",I549*'模板使用说明&amp;基础参数'!$E$7*'模板使用说明&amp;基础参数'!$E$11,I549*'模板使用说明&amp;基础参数'!$E$7*'模板使用说明&amp;基础参数'!$E$10)))))</f>
        <v>1.06666666666667</v>
      </c>
      <c r="M549" s="95"/>
      <c r="N549" s="99"/>
      <c r="O549" s="100"/>
    </row>
    <row r="550" s="70" customFormat="1" ht="25" customHeight="1" spans="1:15">
      <c r="A550" s="93">
        <v>545</v>
      </c>
      <c r="B550" s="94" t="s">
        <v>72</v>
      </c>
      <c r="C550" s="95" t="s">
        <v>73</v>
      </c>
      <c r="D550" s="95" t="s">
        <v>74</v>
      </c>
      <c r="E550" s="95" t="s">
        <v>74</v>
      </c>
      <c r="F550" s="95" t="s">
        <v>1190</v>
      </c>
      <c r="G550" s="95" t="s">
        <v>1191</v>
      </c>
      <c r="H550" s="93" t="s">
        <v>84</v>
      </c>
      <c r="I550" s="96">
        <f>IF(H550="ILF",IF($C$1="预估功能点",'模板使用说明&amp;基础参数'!$E$15,7),IF(H550="EIF",IF($C$1="预估功能点",'模板使用说明&amp;基础参数'!$E$16,5),IF(H550="EI",IF($C$1="预估功能点",'模板使用说明&amp;基础参数'!$E$17,'模板使用说明&amp;基础参数'!$E$24),IF(H550="EO",IF($C$1="预估功能点",'模板使用说明&amp;基础参数'!$E$18,'模板使用说明&amp;基础参数'!$E$25),IF(H550="EQ",IF($C$1="预估功能点",'模板使用说明&amp;基础参数'!$E$19,'模板使用说明&amp;基础参数'!$E$26),"")))))</f>
        <v>4</v>
      </c>
      <c r="J550" s="97" t="s">
        <v>38</v>
      </c>
      <c r="K550" s="97" t="s">
        <v>78</v>
      </c>
      <c r="L550" s="98">
        <f>IF(I550="","",IF(J550="高",IF(K550="删除",I550*'模板使用说明&amp;基础参数'!$E$5*'模板使用说明&amp;基础参数'!$E$12,IF(K550="修改",I550*'模板使用说明&amp;基础参数'!$E$5*'模板使用说明&amp;基础参数'!$E$11,I550*'模板使用说明&amp;基础参数'!$E$5*'模板使用说明&amp;基础参数'!$E$10)),IF(J550="中",IF(K550="删除",I550*'模板使用说明&amp;基础参数'!$E$6*'模板使用说明&amp;基础参数'!$E$12,IF(K550="修改",I550*'模板使用说明&amp;基础参数'!$E$6*'模板使用说明&amp;基础参数'!$E$11,I550*'模板使用说明&amp;基础参数'!$E$6*'模板使用说明&amp;基础参数'!$E$10)),IF(K550="删除",I550*'模板使用说明&amp;基础参数'!$E$7*'模板使用说明&amp;基础参数'!$E$12,IF(K550="修改",I550*'模板使用说明&amp;基础参数'!$E$7*'模板使用说明&amp;基础参数'!$E$11,I550*'模板使用说明&amp;基础参数'!$E$7*'模板使用说明&amp;基础参数'!$E$10)))))</f>
        <v>1.06666666666667</v>
      </c>
      <c r="M550" s="95"/>
      <c r="N550" s="99"/>
      <c r="O550" s="100"/>
    </row>
    <row r="551" s="70" customFormat="1" ht="25" customHeight="1" spans="1:15">
      <c r="A551" s="93">
        <v>546</v>
      </c>
      <c r="B551" s="94" t="s">
        <v>72</v>
      </c>
      <c r="C551" s="95" t="s">
        <v>73</v>
      </c>
      <c r="D551" s="95" t="s">
        <v>74</v>
      </c>
      <c r="E551" s="95" t="s">
        <v>74</v>
      </c>
      <c r="F551" s="95" t="s">
        <v>1192</v>
      </c>
      <c r="G551" s="101" t="s">
        <v>1193</v>
      </c>
      <c r="H551" s="93" t="s">
        <v>77</v>
      </c>
      <c r="I551" s="96">
        <f>IF(H551="ILF",IF($C$1="预估功能点",'模板使用说明&amp;基础参数'!$E$15,7),IF(H551="EIF",IF($C$1="预估功能点",'模板使用说明&amp;基础参数'!$E$16,5),IF(H551="EI",IF($C$1="预估功能点",'模板使用说明&amp;基础参数'!$E$17,'模板使用说明&amp;基础参数'!$E$24),IF(H551="EO",IF($C$1="预估功能点",'模板使用说明&amp;基础参数'!$E$18,'模板使用说明&amp;基础参数'!$E$25),IF(H551="EQ",IF($C$1="预估功能点",'模板使用说明&amp;基础参数'!$E$19,'模板使用说明&amp;基础参数'!$E$26),"")))))</f>
        <v>7</v>
      </c>
      <c r="J551" s="97" t="s">
        <v>38</v>
      </c>
      <c r="K551" s="97" t="s">
        <v>78</v>
      </c>
      <c r="L551" s="98">
        <f>IF(I551="","",IF(J551="高",IF(K551="删除",I551*'模板使用说明&amp;基础参数'!$E$5*'模板使用说明&amp;基础参数'!$E$12,IF(K551="修改",I551*'模板使用说明&amp;基础参数'!$E$5*'模板使用说明&amp;基础参数'!$E$11,I551*'模板使用说明&amp;基础参数'!$E$5*'模板使用说明&amp;基础参数'!$E$10)),IF(J551="中",IF(K551="删除",I551*'模板使用说明&amp;基础参数'!$E$6*'模板使用说明&amp;基础参数'!$E$12,IF(K551="修改",I551*'模板使用说明&amp;基础参数'!$E$6*'模板使用说明&amp;基础参数'!$E$11,I551*'模板使用说明&amp;基础参数'!$E$6*'模板使用说明&amp;基础参数'!$E$10)),IF(K551="删除",I551*'模板使用说明&amp;基础参数'!$E$7*'模板使用说明&amp;基础参数'!$E$12,IF(K551="修改",I551*'模板使用说明&amp;基础参数'!$E$7*'模板使用说明&amp;基础参数'!$E$11,I551*'模板使用说明&amp;基础参数'!$E$7*'模板使用说明&amp;基础参数'!$E$10)))))</f>
        <v>1.86666666666666</v>
      </c>
      <c r="M551" s="95"/>
      <c r="N551" s="99"/>
      <c r="O551" s="100"/>
    </row>
    <row r="552" s="70" customFormat="1" ht="25" customHeight="1" spans="1:15">
      <c r="A552" s="93">
        <v>547</v>
      </c>
      <c r="B552" s="94" t="s">
        <v>72</v>
      </c>
      <c r="C552" s="95" t="s">
        <v>73</v>
      </c>
      <c r="D552" s="95" t="s">
        <v>74</v>
      </c>
      <c r="E552" s="95" t="s">
        <v>74</v>
      </c>
      <c r="F552" s="95" t="s">
        <v>1194</v>
      </c>
      <c r="G552" s="95" t="s">
        <v>1195</v>
      </c>
      <c r="H552" s="93" t="s">
        <v>81</v>
      </c>
      <c r="I552" s="96">
        <f>IF(H552="ILF",IF($C$1="预估功能点",'模板使用说明&amp;基础参数'!$E$15,7),IF(H552="EIF",IF($C$1="预估功能点",'模板使用说明&amp;基础参数'!$E$16,5),IF(H552="EI",IF($C$1="预估功能点",'模板使用说明&amp;基础参数'!$E$17,'模板使用说明&amp;基础参数'!$E$24),IF(H552="EO",IF($C$1="预估功能点",'模板使用说明&amp;基础参数'!$E$18,'模板使用说明&amp;基础参数'!$E$25),IF(H552="EQ",IF($C$1="预估功能点",'模板使用说明&amp;基础参数'!$E$19,'模板使用说明&amp;基础参数'!$E$26),"")))))</f>
        <v>4</v>
      </c>
      <c r="J552" s="97" t="s">
        <v>38</v>
      </c>
      <c r="K552" s="97" t="s">
        <v>78</v>
      </c>
      <c r="L552" s="98">
        <f>IF(I552="","",IF(J552="高",IF(K552="删除",I552*'模板使用说明&amp;基础参数'!$E$5*'模板使用说明&amp;基础参数'!$E$12,IF(K552="修改",I552*'模板使用说明&amp;基础参数'!$E$5*'模板使用说明&amp;基础参数'!$E$11,I552*'模板使用说明&amp;基础参数'!$E$5*'模板使用说明&amp;基础参数'!$E$10)),IF(J552="中",IF(K552="删除",I552*'模板使用说明&amp;基础参数'!$E$6*'模板使用说明&amp;基础参数'!$E$12,IF(K552="修改",I552*'模板使用说明&amp;基础参数'!$E$6*'模板使用说明&amp;基础参数'!$E$11,I552*'模板使用说明&amp;基础参数'!$E$6*'模板使用说明&amp;基础参数'!$E$10)),IF(K552="删除",I552*'模板使用说明&amp;基础参数'!$E$7*'模板使用说明&amp;基础参数'!$E$12,IF(K552="修改",I552*'模板使用说明&amp;基础参数'!$E$7*'模板使用说明&amp;基础参数'!$E$11,I552*'模板使用说明&amp;基础参数'!$E$7*'模板使用说明&amp;基础参数'!$E$10)))))</f>
        <v>1.06666666666667</v>
      </c>
      <c r="M552" s="95"/>
      <c r="N552" s="99"/>
      <c r="O552" s="100"/>
    </row>
    <row r="553" s="70" customFormat="1" ht="25" customHeight="1" spans="1:15">
      <c r="A553" s="93">
        <v>548</v>
      </c>
      <c r="B553" s="94" t="s">
        <v>72</v>
      </c>
      <c r="C553" s="95" t="s">
        <v>73</v>
      </c>
      <c r="D553" s="95" t="s">
        <v>74</v>
      </c>
      <c r="E553" s="95" t="s">
        <v>74</v>
      </c>
      <c r="F553" s="95" t="s">
        <v>1196</v>
      </c>
      <c r="G553" s="95" t="s">
        <v>1197</v>
      </c>
      <c r="H553" s="93" t="s">
        <v>84</v>
      </c>
      <c r="I553" s="96">
        <f>IF(H553="ILF",IF($C$1="预估功能点",'模板使用说明&amp;基础参数'!$E$15,7),IF(H553="EIF",IF($C$1="预估功能点",'模板使用说明&amp;基础参数'!$E$16,5),IF(H553="EI",IF($C$1="预估功能点",'模板使用说明&amp;基础参数'!$E$17,'模板使用说明&amp;基础参数'!$E$24),IF(H553="EO",IF($C$1="预估功能点",'模板使用说明&amp;基础参数'!$E$18,'模板使用说明&amp;基础参数'!$E$25),IF(H553="EQ",IF($C$1="预估功能点",'模板使用说明&amp;基础参数'!$E$19,'模板使用说明&amp;基础参数'!$E$26),"")))))</f>
        <v>4</v>
      </c>
      <c r="J553" s="97" t="s">
        <v>38</v>
      </c>
      <c r="K553" s="97" t="s">
        <v>78</v>
      </c>
      <c r="L553" s="98">
        <f>IF(I553="","",IF(J553="高",IF(K553="删除",I553*'模板使用说明&amp;基础参数'!$E$5*'模板使用说明&amp;基础参数'!$E$12,IF(K553="修改",I553*'模板使用说明&amp;基础参数'!$E$5*'模板使用说明&amp;基础参数'!$E$11,I553*'模板使用说明&amp;基础参数'!$E$5*'模板使用说明&amp;基础参数'!$E$10)),IF(J553="中",IF(K553="删除",I553*'模板使用说明&amp;基础参数'!$E$6*'模板使用说明&amp;基础参数'!$E$12,IF(K553="修改",I553*'模板使用说明&amp;基础参数'!$E$6*'模板使用说明&amp;基础参数'!$E$11,I553*'模板使用说明&amp;基础参数'!$E$6*'模板使用说明&amp;基础参数'!$E$10)),IF(K553="删除",I553*'模板使用说明&amp;基础参数'!$E$7*'模板使用说明&amp;基础参数'!$E$12,IF(K553="修改",I553*'模板使用说明&amp;基础参数'!$E$7*'模板使用说明&amp;基础参数'!$E$11,I553*'模板使用说明&amp;基础参数'!$E$7*'模板使用说明&amp;基础参数'!$E$10)))))</f>
        <v>1.06666666666667</v>
      </c>
      <c r="M553" s="95"/>
      <c r="N553" s="99"/>
      <c r="O553" s="100"/>
    </row>
    <row r="554" s="70" customFormat="1" ht="25" customHeight="1" spans="1:15">
      <c r="A554" s="93">
        <v>549</v>
      </c>
      <c r="B554" s="94" t="s">
        <v>72</v>
      </c>
      <c r="C554" s="95" t="s">
        <v>73</v>
      </c>
      <c r="D554" s="95" t="s">
        <v>74</v>
      </c>
      <c r="E554" s="95" t="s">
        <v>74</v>
      </c>
      <c r="F554" s="95" t="s">
        <v>1198</v>
      </c>
      <c r="G554" s="95" t="s">
        <v>1199</v>
      </c>
      <c r="H554" s="93" t="s">
        <v>84</v>
      </c>
      <c r="I554" s="96">
        <f>IF(H554="ILF",IF($C$1="预估功能点",'模板使用说明&amp;基础参数'!$E$15,7),IF(H554="EIF",IF($C$1="预估功能点",'模板使用说明&amp;基础参数'!$E$16,5),IF(H554="EI",IF($C$1="预估功能点",'模板使用说明&amp;基础参数'!$E$17,'模板使用说明&amp;基础参数'!$E$24),IF(H554="EO",IF($C$1="预估功能点",'模板使用说明&amp;基础参数'!$E$18,'模板使用说明&amp;基础参数'!$E$25),IF(H554="EQ",IF($C$1="预估功能点",'模板使用说明&amp;基础参数'!$E$19,'模板使用说明&amp;基础参数'!$E$26),"")))))</f>
        <v>4</v>
      </c>
      <c r="J554" s="97" t="s">
        <v>38</v>
      </c>
      <c r="K554" s="97" t="s">
        <v>78</v>
      </c>
      <c r="L554" s="98">
        <f>IF(I554="","",IF(J554="高",IF(K554="删除",I554*'模板使用说明&amp;基础参数'!$E$5*'模板使用说明&amp;基础参数'!$E$12,IF(K554="修改",I554*'模板使用说明&amp;基础参数'!$E$5*'模板使用说明&amp;基础参数'!$E$11,I554*'模板使用说明&amp;基础参数'!$E$5*'模板使用说明&amp;基础参数'!$E$10)),IF(J554="中",IF(K554="删除",I554*'模板使用说明&amp;基础参数'!$E$6*'模板使用说明&amp;基础参数'!$E$12,IF(K554="修改",I554*'模板使用说明&amp;基础参数'!$E$6*'模板使用说明&amp;基础参数'!$E$11,I554*'模板使用说明&amp;基础参数'!$E$6*'模板使用说明&amp;基础参数'!$E$10)),IF(K554="删除",I554*'模板使用说明&amp;基础参数'!$E$7*'模板使用说明&amp;基础参数'!$E$12,IF(K554="修改",I554*'模板使用说明&amp;基础参数'!$E$7*'模板使用说明&amp;基础参数'!$E$11,I554*'模板使用说明&amp;基础参数'!$E$7*'模板使用说明&amp;基础参数'!$E$10)))))</f>
        <v>1.06666666666667</v>
      </c>
      <c r="M554" s="95"/>
      <c r="N554" s="99"/>
      <c r="O554" s="100"/>
    </row>
    <row r="555" s="70" customFormat="1" ht="25" customHeight="1" spans="1:15">
      <c r="A555" s="93">
        <v>550</v>
      </c>
      <c r="B555" s="94" t="s">
        <v>72</v>
      </c>
      <c r="C555" s="95" t="s">
        <v>73</v>
      </c>
      <c r="D555" s="95" t="s">
        <v>74</v>
      </c>
      <c r="E555" s="95" t="s">
        <v>74</v>
      </c>
      <c r="F555" s="95" t="s">
        <v>1200</v>
      </c>
      <c r="G555" s="95" t="s">
        <v>1201</v>
      </c>
      <c r="H555" s="93" t="s">
        <v>84</v>
      </c>
      <c r="I555" s="96">
        <f>IF(H555="ILF",IF($C$1="预估功能点",'模板使用说明&amp;基础参数'!$E$15,7),IF(H555="EIF",IF($C$1="预估功能点",'模板使用说明&amp;基础参数'!$E$16,5),IF(H555="EI",IF($C$1="预估功能点",'模板使用说明&amp;基础参数'!$E$17,'模板使用说明&amp;基础参数'!$E$24),IF(H555="EO",IF($C$1="预估功能点",'模板使用说明&amp;基础参数'!$E$18,'模板使用说明&amp;基础参数'!$E$25),IF(H555="EQ",IF($C$1="预估功能点",'模板使用说明&amp;基础参数'!$E$19,'模板使用说明&amp;基础参数'!$E$26),"")))))</f>
        <v>4</v>
      </c>
      <c r="J555" s="97" t="s">
        <v>38</v>
      </c>
      <c r="K555" s="97" t="s">
        <v>78</v>
      </c>
      <c r="L555" s="98">
        <f>IF(I555="","",IF(J555="高",IF(K555="删除",I555*'模板使用说明&amp;基础参数'!$E$5*'模板使用说明&amp;基础参数'!$E$12,IF(K555="修改",I555*'模板使用说明&amp;基础参数'!$E$5*'模板使用说明&amp;基础参数'!$E$11,I555*'模板使用说明&amp;基础参数'!$E$5*'模板使用说明&amp;基础参数'!$E$10)),IF(J555="中",IF(K555="删除",I555*'模板使用说明&amp;基础参数'!$E$6*'模板使用说明&amp;基础参数'!$E$12,IF(K555="修改",I555*'模板使用说明&amp;基础参数'!$E$6*'模板使用说明&amp;基础参数'!$E$11,I555*'模板使用说明&amp;基础参数'!$E$6*'模板使用说明&amp;基础参数'!$E$10)),IF(K555="删除",I555*'模板使用说明&amp;基础参数'!$E$7*'模板使用说明&amp;基础参数'!$E$12,IF(K555="修改",I555*'模板使用说明&amp;基础参数'!$E$7*'模板使用说明&amp;基础参数'!$E$11,I555*'模板使用说明&amp;基础参数'!$E$7*'模板使用说明&amp;基础参数'!$E$10)))))</f>
        <v>1.06666666666667</v>
      </c>
      <c r="M555" s="95"/>
      <c r="N555" s="99"/>
      <c r="O555" s="100"/>
    </row>
    <row r="556" s="70" customFormat="1" ht="25" customHeight="1" spans="1:15">
      <c r="A556" s="93">
        <v>551</v>
      </c>
      <c r="B556" s="94" t="s">
        <v>72</v>
      </c>
      <c r="C556" s="95" t="s">
        <v>73</v>
      </c>
      <c r="D556" s="95" t="s">
        <v>74</v>
      </c>
      <c r="E556" s="95" t="s">
        <v>74</v>
      </c>
      <c r="F556" s="95" t="s">
        <v>1202</v>
      </c>
      <c r="G556" s="95" t="s">
        <v>1203</v>
      </c>
      <c r="H556" s="93" t="s">
        <v>77</v>
      </c>
      <c r="I556" s="96">
        <f>IF(H556="ILF",IF($C$1="预估功能点",'模板使用说明&amp;基础参数'!$E$15,7),IF(H556="EIF",IF($C$1="预估功能点",'模板使用说明&amp;基础参数'!$E$16,5),IF(H556="EI",IF($C$1="预估功能点",'模板使用说明&amp;基础参数'!$E$17,'模板使用说明&amp;基础参数'!$E$24),IF(H556="EO",IF($C$1="预估功能点",'模板使用说明&amp;基础参数'!$E$18,'模板使用说明&amp;基础参数'!$E$25),IF(H556="EQ",IF($C$1="预估功能点",'模板使用说明&amp;基础参数'!$E$19,'模板使用说明&amp;基础参数'!$E$26),"")))))</f>
        <v>7</v>
      </c>
      <c r="J556" s="97" t="s">
        <v>38</v>
      </c>
      <c r="K556" s="97" t="s">
        <v>78</v>
      </c>
      <c r="L556" s="98">
        <f>IF(I556="","",IF(J556="高",IF(K556="删除",I556*'模板使用说明&amp;基础参数'!$E$5*'模板使用说明&amp;基础参数'!$E$12,IF(K556="修改",I556*'模板使用说明&amp;基础参数'!$E$5*'模板使用说明&amp;基础参数'!$E$11,I556*'模板使用说明&amp;基础参数'!$E$5*'模板使用说明&amp;基础参数'!$E$10)),IF(J556="中",IF(K556="删除",I556*'模板使用说明&amp;基础参数'!$E$6*'模板使用说明&amp;基础参数'!$E$12,IF(K556="修改",I556*'模板使用说明&amp;基础参数'!$E$6*'模板使用说明&amp;基础参数'!$E$11,I556*'模板使用说明&amp;基础参数'!$E$6*'模板使用说明&amp;基础参数'!$E$10)),IF(K556="删除",I556*'模板使用说明&amp;基础参数'!$E$7*'模板使用说明&amp;基础参数'!$E$12,IF(K556="修改",I556*'模板使用说明&amp;基础参数'!$E$7*'模板使用说明&amp;基础参数'!$E$11,I556*'模板使用说明&amp;基础参数'!$E$7*'模板使用说明&amp;基础参数'!$E$10)))))</f>
        <v>1.86666666666666</v>
      </c>
      <c r="M556" s="95"/>
      <c r="N556" s="99"/>
      <c r="O556" s="100"/>
    </row>
    <row r="557" s="70" customFormat="1" ht="25" customHeight="1" spans="1:15">
      <c r="A557" s="93">
        <v>552</v>
      </c>
      <c r="B557" s="94" t="s">
        <v>72</v>
      </c>
      <c r="C557" s="95" t="s">
        <v>73</v>
      </c>
      <c r="D557" s="95" t="s">
        <v>74</v>
      </c>
      <c r="E557" s="95" t="s">
        <v>74</v>
      </c>
      <c r="F557" s="95" t="s">
        <v>1204</v>
      </c>
      <c r="G557" s="95" t="s">
        <v>1205</v>
      </c>
      <c r="H557" s="93" t="s">
        <v>81</v>
      </c>
      <c r="I557" s="96">
        <f>IF(H557="ILF",IF($C$1="预估功能点",'模板使用说明&amp;基础参数'!$E$15,7),IF(H557="EIF",IF($C$1="预估功能点",'模板使用说明&amp;基础参数'!$E$16,5),IF(H557="EI",IF($C$1="预估功能点",'模板使用说明&amp;基础参数'!$E$17,'模板使用说明&amp;基础参数'!$E$24),IF(H557="EO",IF($C$1="预估功能点",'模板使用说明&amp;基础参数'!$E$18,'模板使用说明&amp;基础参数'!$E$25),IF(H557="EQ",IF($C$1="预估功能点",'模板使用说明&amp;基础参数'!$E$19,'模板使用说明&amp;基础参数'!$E$26),"")))))</f>
        <v>4</v>
      </c>
      <c r="J557" s="97" t="s">
        <v>38</v>
      </c>
      <c r="K557" s="97" t="s">
        <v>78</v>
      </c>
      <c r="L557" s="98">
        <f>IF(I557="","",IF(J557="高",IF(K557="删除",I557*'模板使用说明&amp;基础参数'!$E$5*'模板使用说明&amp;基础参数'!$E$12,IF(K557="修改",I557*'模板使用说明&amp;基础参数'!$E$5*'模板使用说明&amp;基础参数'!$E$11,I557*'模板使用说明&amp;基础参数'!$E$5*'模板使用说明&amp;基础参数'!$E$10)),IF(J557="中",IF(K557="删除",I557*'模板使用说明&amp;基础参数'!$E$6*'模板使用说明&amp;基础参数'!$E$12,IF(K557="修改",I557*'模板使用说明&amp;基础参数'!$E$6*'模板使用说明&amp;基础参数'!$E$11,I557*'模板使用说明&amp;基础参数'!$E$6*'模板使用说明&amp;基础参数'!$E$10)),IF(K557="删除",I557*'模板使用说明&amp;基础参数'!$E$7*'模板使用说明&amp;基础参数'!$E$12,IF(K557="修改",I557*'模板使用说明&amp;基础参数'!$E$7*'模板使用说明&amp;基础参数'!$E$11,I557*'模板使用说明&amp;基础参数'!$E$7*'模板使用说明&amp;基础参数'!$E$10)))))</f>
        <v>1.06666666666667</v>
      </c>
      <c r="M557" s="95"/>
      <c r="N557" s="99"/>
      <c r="O557" s="100"/>
    </row>
    <row r="558" s="70" customFormat="1" ht="25" customHeight="1" spans="1:15">
      <c r="A558" s="93">
        <v>553</v>
      </c>
      <c r="B558" s="94" t="s">
        <v>72</v>
      </c>
      <c r="C558" s="95" t="s">
        <v>73</v>
      </c>
      <c r="D558" s="95" t="s">
        <v>74</v>
      </c>
      <c r="E558" s="95" t="s">
        <v>74</v>
      </c>
      <c r="F558" s="95" t="s">
        <v>1206</v>
      </c>
      <c r="G558" s="95" t="s">
        <v>1207</v>
      </c>
      <c r="H558" s="93" t="s">
        <v>84</v>
      </c>
      <c r="I558" s="96">
        <f>IF(H558="ILF",IF($C$1="预估功能点",'模板使用说明&amp;基础参数'!$E$15,7),IF(H558="EIF",IF($C$1="预估功能点",'模板使用说明&amp;基础参数'!$E$16,5),IF(H558="EI",IF($C$1="预估功能点",'模板使用说明&amp;基础参数'!$E$17,'模板使用说明&amp;基础参数'!$E$24),IF(H558="EO",IF($C$1="预估功能点",'模板使用说明&amp;基础参数'!$E$18,'模板使用说明&amp;基础参数'!$E$25),IF(H558="EQ",IF($C$1="预估功能点",'模板使用说明&amp;基础参数'!$E$19,'模板使用说明&amp;基础参数'!$E$26),"")))))</f>
        <v>4</v>
      </c>
      <c r="J558" s="97" t="s">
        <v>38</v>
      </c>
      <c r="K558" s="97" t="s">
        <v>78</v>
      </c>
      <c r="L558" s="98">
        <f>IF(I558="","",IF(J558="高",IF(K558="删除",I558*'模板使用说明&amp;基础参数'!$E$5*'模板使用说明&amp;基础参数'!$E$12,IF(K558="修改",I558*'模板使用说明&amp;基础参数'!$E$5*'模板使用说明&amp;基础参数'!$E$11,I558*'模板使用说明&amp;基础参数'!$E$5*'模板使用说明&amp;基础参数'!$E$10)),IF(J558="中",IF(K558="删除",I558*'模板使用说明&amp;基础参数'!$E$6*'模板使用说明&amp;基础参数'!$E$12,IF(K558="修改",I558*'模板使用说明&amp;基础参数'!$E$6*'模板使用说明&amp;基础参数'!$E$11,I558*'模板使用说明&amp;基础参数'!$E$6*'模板使用说明&amp;基础参数'!$E$10)),IF(K558="删除",I558*'模板使用说明&amp;基础参数'!$E$7*'模板使用说明&amp;基础参数'!$E$12,IF(K558="修改",I558*'模板使用说明&amp;基础参数'!$E$7*'模板使用说明&amp;基础参数'!$E$11,I558*'模板使用说明&amp;基础参数'!$E$7*'模板使用说明&amp;基础参数'!$E$10)))))</f>
        <v>1.06666666666667</v>
      </c>
      <c r="M558" s="95"/>
      <c r="N558" s="99"/>
      <c r="O558" s="100"/>
    </row>
    <row r="559" s="70" customFormat="1" ht="25" customHeight="1" spans="1:15">
      <c r="A559" s="93">
        <v>554</v>
      </c>
      <c r="B559" s="94" t="s">
        <v>72</v>
      </c>
      <c r="C559" s="95" t="s">
        <v>73</v>
      </c>
      <c r="D559" s="95" t="s">
        <v>74</v>
      </c>
      <c r="E559" s="95" t="s">
        <v>74</v>
      </c>
      <c r="F559" s="95" t="s">
        <v>1208</v>
      </c>
      <c r="G559" s="95" t="s">
        <v>1209</v>
      </c>
      <c r="H559" s="93" t="s">
        <v>84</v>
      </c>
      <c r="I559" s="96">
        <f>IF(H559="ILF",IF($C$1="预估功能点",'模板使用说明&amp;基础参数'!$E$15,7),IF(H559="EIF",IF($C$1="预估功能点",'模板使用说明&amp;基础参数'!$E$16,5),IF(H559="EI",IF($C$1="预估功能点",'模板使用说明&amp;基础参数'!$E$17,'模板使用说明&amp;基础参数'!$E$24),IF(H559="EO",IF($C$1="预估功能点",'模板使用说明&amp;基础参数'!$E$18,'模板使用说明&amp;基础参数'!$E$25),IF(H559="EQ",IF($C$1="预估功能点",'模板使用说明&amp;基础参数'!$E$19,'模板使用说明&amp;基础参数'!$E$26),"")))))</f>
        <v>4</v>
      </c>
      <c r="J559" s="97" t="s">
        <v>38</v>
      </c>
      <c r="K559" s="97" t="s">
        <v>78</v>
      </c>
      <c r="L559" s="98">
        <f>IF(I559="","",IF(J559="高",IF(K559="删除",I559*'模板使用说明&amp;基础参数'!$E$5*'模板使用说明&amp;基础参数'!$E$12,IF(K559="修改",I559*'模板使用说明&amp;基础参数'!$E$5*'模板使用说明&amp;基础参数'!$E$11,I559*'模板使用说明&amp;基础参数'!$E$5*'模板使用说明&amp;基础参数'!$E$10)),IF(J559="中",IF(K559="删除",I559*'模板使用说明&amp;基础参数'!$E$6*'模板使用说明&amp;基础参数'!$E$12,IF(K559="修改",I559*'模板使用说明&amp;基础参数'!$E$6*'模板使用说明&amp;基础参数'!$E$11,I559*'模板使用说明&amp;基础参数'!$E$6*'模板使用说明&amp;基础参数'!$E$10)),IF(K559="删除",I559*'模板使用说明&amp;基础参数'!$E$7*'模板使用说明&amp;基础参数'!$E$12,IF(K559="修改",I559*'模板使用说明&amp;基础参数'!$E$7*'模板使用说明&amp;基础参数'!$E$11,I559*'模板使用说明&amp;基础参数'!$E$7*'模板使用说明&amp;基础参数'!$E$10)))))</f>
        <v>1.06666666666667</v>
      </c>
      <c r="M559" s="95"/>
      <c r="N559" s="99"/>
      <c r="O559" s="100"/>
    </row>
    <row r="560" s="70" customFormat="1" ht="25" customHeight="1" spans="1:15">
      <c r="A560" s="93">
        <v>555</v>
      </c>
      <c r="B560" s="94" t="s">
        <v>72</v>
      </c>
      <c r="C560" s="95" t="s">
        <v>73</v>
      </c>
      <c r="D560" s="95" t="s">
        <v>74</v>
      </c>
      <c r="E560" s="95" t="s">
        <v>74</v>
      </c>
      <c r="F560" s="95" t="s">
        <v>1210</v>
      </c>
      <c r="G560" s="95" t="s">
        <v>1211</v>
      </c>
      <c r="H560" s="93" t="s">
        <v>84</v>
      </c>
      <c r="I560" s="96">
        <f>IF(H560="ILF",IF($C$1="预估功能点",'模板使用说明&amp;基础参数'!$E$15,7),IF(H560="EIF",IF($C$1="预估功能点",'模板使用说明&amp;基础参数'!$E$16,5),IF(H560="EI",IF($C$1="预估功能点",'模板使用说明&amp;基础参数'!$E$17,'模板使用说明&amp;基础参数'!$E$24),IF(H560="EO",IF($C$1="预估功能点",'模板使用说明&amp;基础参数'!$E$18,'模板使用说明&amp;基础参数'!$E$25),IF(H560="EQ",IF($C$1="预估功能点",'模板使用说明&amp;基础参数'!$E$19,'模板使用说明&amp;基础参数'!$E$26),"")))))</f>
        <v>4</v>
      </c>
      <c r="J560" s="97" t="s">
        <v>38</v>
      </c>
      <c r="K560" s="97" t="s">
        <v>78</v>
      </c>
      <c r="L560" s="98">
        <f>IF(I560="","",IF(J560="高",IF(K560="删除",I560*'模板使用说明&amp;基础参数'!$E$5*'模板使用说明&amp;基础参数'!$E$12,IF(K560="修改",I560*'模板使用说明&amp;基础参数'!$E$5*'模板使用说明&amp;基础参数'!$E$11,I560*'模板使用说明&amp;基础参数'!$E$5*'模板使用说明&amp;基础参数'!$E$10)),IF(J560="中",IF(K560="删除",I560*'模板使用说明&amp;基础参数'!$E$6*'模板使用说明&amp;基础参数'!$E$12,IF(K560="修改",I560*'模板使用说明&amp;基础参数'!$E$6*'模板使用说明&amp;基础参数'!$E$11,I560*'模板使用说明&amp;基础参数'!$E$6*'模板使用说明&amp;基础参数'!$E$10)),IF(K560="删除",I560*'模板使用说明&amp;基础参数'!$E$7*'模板使用说明&amp;基础参数'!$E$12,IF(K560="修改",I560*'模板使用说明&amp;基础参数'!$E$7*'模板使用说明&amp;基础参数'!$E$11,I560*'模板使用说明&amp;基础参数'!$E$7*'模板使用说明&amp;基础参数'!$E$10)))))</f>
        <v>1.06666666666667</v>
      </c>
      <c r="M560" s="95"/>
      <c r="N560" s="99"/>
      <c r="O560" s="100"/>
    </row>
    <row r="561" s="70" customFormat="1" ht="25" customHeight="1" spans="1:15">
      <c r="A561" s="93">
        <v>556</v>
      </c>
      <c r="B561" s="94" t="s">
        <v>72</v>
      </c>
      <c r="C561" s="95" t="s">
        <v>73</v>
      </c>
      <c r="D561" s="95" t="s">
        <v>74</v>
      </c>
      <c r="E561" s="95" t="s">
        <v>74</v>
      </c>
      <c r="F561" s="95" t="s">
        <v>1212</v>
      </c>
      <c r="G561" s="95" t="s">
        <v>1213</v>
      </c>
      <c r="H561" s="93" t="s">
        <v>77</v>
      </c>
      <c r="I561" s="96">
        <f>IF(H561="ILF",IF($C$1="预估功能点",'模板使用说明&amp;基础参数'!$E$15,7),IF(H561="EIF",IF($C$1="预估功能点",'模板使用说明&amp;基础参数'!$E$16,5),IF(H561="EI",IF($C$1="预估功能点",'模板使用说明&amp;基础参数'!$E$17,'模板使用说明&amp;基础参数'!$E$24),IF(H561="EO",IF($C$1="预估功能点",'模板使用说明&amp;基础参数'!$E$18,'模板使用说明&amp;基础参数'!$E$25),IF(H561="EQ",IF($C$1="预估功能点",'模板使用说明&amp;基础参数'!$E$19,'模板使用说明&amp;基础参数'!$E$26),"")))))</f>
        <v>7</v>
      </c>
      <c r="J561" s="97" t="s">
        <v>38</v>
      </c>
      <c r="K561" s="97" t="s">
        <v>78</v>
      </c>
      <c r="L561" s="98">
        <f>IF(I561="","",IF(J561="高",IF(K561="删除",I561*'模板使用说明&amp;基础参数'!$E$5*'模板使用说明&amp;基础参数'!$E$12,IF(K561="修改",I561*'模板使用说明&amp;基础参数'!$E$5*'模板使用说明&amp;基础参数'!$E$11,I561*'模板使用说明&amp;基础参数'!$E$5*'模板使用说明&amp;基础参数'!$E$10)),IF(J561="中",IF(K561="删除",I561*'模板使用说明&amp;基础参数'!$E$6*'模板使用说明&amp;基础参数'!$E$12,IF(K561="修改",I561*'模板使用说明&amp;基础参数'!$E$6*'模板使用说明&amp;基础参数'!$E$11,I561*'模板使用说明&amp;基础参数'!$E$6*'模板使用说明&amp;基础参数'!$E$10)),IF(K561="删除",I561*'模板使用说明&amp;基础参数'!$E$7*'模板使用说明&amp;基础参数'!$E$12,IF(K561="修改",I561*'模板使用说明&amp;基础参数'!$E$7*'模板使用说明&amp;基础参数'!$E$11,I561*'模板使用说明&amp;基础参数'!$E$7*'模板使用说明&amp;基础参数'!$E$10)))))</f>
        <v>1.86666666666666</v>
      </c>
      <c r="M561" s="95"/>
      <c r="N561" s="99"/>
      <c r="O561" s="100"/>
    </row>
    <row r="562" s="70" customFormat="1" ht="25" customHeight="1" spans="1:15">
      <c r="A562" s="93">
        <v>557</v>
      </c>
      <c r="B562" s="94" t="s">
        <v>72</v>
      </c>
      <c r="C562" s="95" t="s">
        <v>73</v>
      </c>
      <c r="D562" s="95" t="s">
        <v>74</v>
      </c>
      <c r="E562" s="95" t="s">
        <v>74</v>
      </c>
      <c r="F562" s="95" t="s">
        <v>1214</v>
      </c>
      <c r="G562" s="95" t="s">
        <v>1215</v>
      </c>
      <c r="H562" s="93" t="s">
        <v>81</v>
      </c>
      <c r="I562" s="96">
        <f>IF(H562="ILF",IF($C$1="预估功能点",'模板使用说明&amp;基础参数'!$E$15,7),IF(H562="EIF",IF($C$1="预估功能点",'模板使用说明&amp;基础参数'!$E$16,5),IF(H562="EI",IF($C$1="预估功能点",'模板使用说明&amp;基础参数'!$E$17,'模板使用说明&amp;基础参数'!$E$24),IF(H562="EO",IF($C$1="预估功能点",'模板使用说明&amp;基础参数'!$E$18,'模板使用说明&amp;基础参数'!$E$25),IF(H562="EQ",IF($C$1="预估功能点",'模板使用说明&amp;基础参数'!$E$19,'模板使用说明&amp;基础参数'!$E$26),"")))))</f>
        <v>4</v>
      </c>
      <c r="J562" s="97" t="s">
        <v>38</v>
      </c>
      <c r="K562" s="97" t="s">
        <v>78</v>
      </c>
      <c r="L562" s="98">
        <f>IF(I562="","",IF(J562="高",IF(K562="删除",I562*'模板使用说明&amp;基础参数'!$E$5*'模板使用说明&amp;基础参数'!$E$12,IF(K562="修改",I562*'模板使用说明&amp;基础参数'!$E$5*'模板使用说明&amp;基础参数'!$E$11,I562*'模板使用说明&amp;基础参数'!$E$5*'模板使用说明&amp;基础参数'!$E$10)),IF(J562="中",IF(K562="删除",I562*'模板使用说明&amp;基础参数'!$E$6*'模板使用说明&amp;基础参数'!$E$12,IF(K562="修改",I562*'模板使用说明&amp;基础参数'!$E$6*'模板使用说明&amp;基础参数'!$E$11,I562*'模板使用说明&amp;基础参数'!$E$6*'模板使用说明&amp;基础参数'!$E$10)),IF(K562="删除",I562*'模板使用说明&amp;基础参数'!$E$7*'模板使用说明&amp;基础参数'!$E$12,IF(K562="修改",I562*'模板使用说明&amp;基础参数'!$E$7*'模板使用说明&amp;基础参数'!$E$11,I562*'模板使用说明&amp;基础参数'!$E$7*'模板使用说明&amp;基础参数'!$E$10)))))</f>
        <v>1.06666666666667</v>
      </c>
      <c r="M562" s="95"/>
      <c r="N562" s="99"/>
      <c r="O562" s="100"/>
    </row>
    <row r="563" s="70" customFormat="1" ht="25" customHeight="1" spans="1:15">
      <c r="A563" s="93">
        <v>558</v>
      </c>
      <c r="B563" s="94" t="s">
        <v>72</v>
      </c>
      <c r="C563" s="95" t="s">
        <v>73</v>
      </c>
      <c r="D563" s="95" t="s">
        <v>74</v>
      </c>
      <c r="E563" s="95" t="s">
        <v>74</v>
      </c>
      <c r="F563" s="95" t="s">
        <v>1216</v>
      </c>
      <c r="G563" s="95" t="s">
        <v>1217</v>
      </c>
      <c r="H563" s="93" t="s">
        <v>84</v>
      </c>
      <c r="I563" s="96">
        <f>IF(H563="ILF",IF($C$1="预估功能点",'模板使用说明&amp;基础参数'!$E$15,7),IF(H563="EIF",IF($C$1="预估功能点",'模板使用说明&amp;基础参数'!$E$16,5),IF(H563="EI",IF($C$1="预估功能点",'模板使用说明&amp;基础参数'!$E$17,'模板使用说明&amp;基础参数'!$E$24),IF(H563="EO",IF($C$1="预估功能点",'模板使用说明&amp;基础参数'!$E$18,'模板使用说明&amp;基础参数'!$E$25),IF(H563="EQ",IF($C$1="预估功能点",'模板使用说明&amp;基础参数'!$E$19,'模板使用说明&amp;基础参数'!$E$26),"")))))</f>
        <v>4</v>
      </c>
      <c r="J563" s="97" t="s">
        <v>38</v>
      </c>
      <c r="K563" s="97" t="s">
        <v>78</v>
      </c>
      <c r="L563" s="98">
        <f>IF(I563="","",IF(J563="高",IF(K563="删除",I563*'模板使用说明&amp;基础参数'!$E$5*'模板使用说明&amp;基础参数'!$E$12,IF(K563="修改",I563*'模板使用说明&amp;基础参数'!$E$5*'模板使用说明&amp;基础参数'!$E$11,I563*'模板使用说明&amp;基础参数'!$E$5*'模板使用说明&amp;基础参数'!$E$10)),IF(J563="中",IF(K563="删除",I563*'模板使用说明&amp;基础参数'!$E$6*'模板使用说明&amp;基础参数'!$E$12,IF(K563="修改",I563*'模板使用说明&amp;基础参数'!$E$6*'模板使用说明&amp;基础参数'!$E$11,I563*'模板使用说明&amp;基础参数'!$E$6*'模板使用说明&amp;基础参数'!$E$10)),IF(K563="删除",I563*'模板使用说明&amp;基础参数'!$E$7*'模板使用说明&amp;基础参数'!$E$12,IF(K563="修改",I563*'模板使用说明&amp;基础参数'!$E$7*'模板使用说明&amp;基础参数'!$E$11,I563*'模板使用说明&amp;基础参数'!$E$7*'模板使用说明&amp;基础参数'!$E$10)))))</f>
        <v>1.06666666666667</v>
      </c>
      <c r="M563" s="95"/>
      <c r="N563" s="99"/>
      <c r="O563" s="100"/>
    </row>
    <row r="564" s="70" customFormat="1" ht="25" customHeight="1" spans="1:15">
      <c r="A564" s="93">
        <v>559</v>
      </c>
      <c r="B564" s="94" t="s">
        <v>72</v>
      </c>
      <c r="C564" s="95" t="s">
        <v>73</v>
      </c>
      <c r="D564" s="95" t="s">
        <v>74</v>
      </c>
      <c r="E564" s="95" t="s">
        <v>74</v>
      </c>
      <c r="F564" s="95" t="s">
        <v>1218</v>
      </c>
      <c r="G564" s="95" t="s">
        <v>1219</v>
      </c>
      <c r="H564" s="93" t="s">
        <v>84</v>
      </c>
      <c r="I564" s="96">
        <f>IF(H564="ILF",IF($C$1="预估功能点",'模板使用说明&amp;基础参数'!$E$15,7),IF(H564="EIF",IF($C$1="预估功能点",'模板使用说明&amp;基础参数'!$E$16,5),IF(H564="EI",IF($C$1="预估功能点",'模板使用说明&amp;基础参数'!$E$17,'模板使用说明&amp;基础参数'!$E$24),IF(H564="EO",IF($C$1="预估功能点",'模板使用说明&amp;基础参数'!$E$18,'模板使用说明&amp;基础参数'!$E$25),IF(H564="EQ",IF($C$1="预估功能点",'模板使用说明&amp;基础参数'!$E$19,'模板使用说明&amp;基础参数'!$E$26),"")))))</f>
        <v>4</v>
      </c>
      <c r="J564" s="97" t="s">
        <v>38</v>
      </c>
      <c r="K564" s="97" t="s">
        <v>78</v>
      </c>
      <c r="L564" s="98">
        <f>IF(I564="","",IF(J564="高",IF(K564="删除",I564*'模板使用说明&amp;基础参数'!$E$5*'模板使用说明&amp;基础参数'!$E$12,IF(K564="修改",I564*'模板使用说明&amp;基础参数'!$E$5*'模板使用说明&amp;基础参数'!$E$11,I564*'模板使用说明&amp;基础参数'!$E$5*'模板使用说明&amp;基础参数'!$E$10)),IF(J564="中",IF(K564="删除",I564*'模板使用说明&amp;基础参数'!$E$6*'模板使用说明&amp;基础参数'!$E$12,IF(K564="修改",I564*'模板使用说明&amp;基础参数'!$E$6*'模板使用说明&amp;基础参数'!$E$11,I564*'模板使用说明&amp;基础参数'!$E$6*'模板使用说明&amp;基础参数'!$E$10)),IF(K564="删除",I564*'模板使用说明&amp;基础参数'!$E$7*'模板使用说明&amp;基础参数'!$E$12,IF(K564="修改",I564*'模板使用说明&amp;基础参数'!$E$7*'模板使用说明&amp;基础参数'!$E$11,I564*'模板使用说明&amp;基础参数'!$E$7*'模板使用说明&amp;基础参数'!$E$10)))))</f>
        <v>1.06666666666667</v>
      </c>
      <c r="M564" s="95"/>
      <c r="N564" s="99"/>
      <c r="O564" s="100"/>
    </row>
    <row r="565" s="70" customFormat="1" ht="25" customHeight="1" spans="1:15">
      <c r="A565" s="93">
        <v>560</v>
      </c>
      <c r="B565" s="94" t="s">
        <v>72</v>
      </c>
      <c r="C565" s="95" t="s">
        <v>73</v>
      </c>
      <c r="D565" s="95" t="s">
        <v>74</v>
      </c>
      <c r="E565" s="95" t="s">
        <v>74</v>
      </c>
      <c r="F565" s="95" t="s">
        <v>1220</v>
      </c>
      <c r="G565" s="95" t="s">
        <v>1221</v>
      </c>
      <c r="H565" s="93" t="s">
        <v>84</v>
      </c>
      <c r="I565" s="96">
        <f>IF(H565="ILF",IF($C$1="预估功能点",'模板使用说明&amp;基础参数'!$E$15,7),IF(H565="EIF",IF($C$1="预估功能点",'模板使用说明&amp;基础参数'!$E$16,5),IF(H565="EI",IF($C$1="预估功能点",'模板使用说明&amp;基础参数'!$E$17,'模板使用说明&amp;基础参数'!$E$24),IF(H565="EO",IF($C$1="预估功能点",'模板使用说明&amp;基础参数'!$E$18,'模板使用说明&amp;基础参数'!$E$25),IF(H565="EQ",IF($C$1="预估功能点",'模板使用说明&amp;基础参数'!$E$19,'模板使用说明&amp;基础参数'!$E$26),"")))))</f>
        <v>4</v>
      </c>
      <c r="J565" s="97" t="s">
        <v>38</v>
      </c>
      <c r="K565" s="97" t="s">
        <v>78</v>
      </c>
      <c r="L565" s="98">
        <f>IF(I565="","",IF(J565="高",IF(K565="删除",I565*'模板使用说明&amp;基础参数'!$E$5*'模板使用说明&amp;基础参数'!$E$12,IF(K565="修改",I565*'模板使用说明&amp;基础参数'!$E$5*'模板使用说明&amp;基础参数'!$E$11,I565*'模板使用说明&amp;基础参数'!$E$5*'模板使用说明&amp;基础参数'!$E$10)),IF(J565="中",IF(K565="删除",I565*'模板使用说明&amp;基础参数'!$E$6*'模板使用说明&amp;基础参数'!$E$12,IF(K565="修改",I565*'模板使用说明&amp;基础参数'!$E$6*'模板使用说明&amp;基础参数'!$E$11,I565*'模板使用说明&amp;基础参数'!$E$6*'模板使用说明&amp;基础参数'!$E$10)),IF(K565="删除",I565*'模板使用说明&amp;基础参数'!$E$7*'模板使用说明&amp;基础参数'!$E$12,IF(K565="修改",I565*'模板使用说明&amp;基础参数'!$E$7*'模板使用说明&amp;基础参数'!$E$11,I565*'模板使用说明&amp;基础参数'!$E$7*'模板使用说明&amp;基础参数'!$E$10)))))</f>
        <v>1.06666666666667</v>
      </c>
      <c r="M565" s="95"/>
      <c r="N565" s="99"/>
      <c r="O565" s="100"/>
    </row>
    <row r="566" s="70" customFormat="1" ht="25" customHeight="1" spans="1:15">
      <c r="A566" s="93">
        <v>561</v>
      </c>
      <c r="B566" s="94" t="s">
        <v>72</v>
      </c>
      <c r="C566" s="95" t="s">
        <v>73</v>
      </c>
      <c r="D566" s="95" t="s">
        <v>74</v>
      </c>
      <c r="E566" s="95" t="s">
        <v>74</v>
      </c>
      <c r="F566" s="95" t="s">
        <v>1222</v>
      </c>
      <c r="G566" s="95" t="s">
        <v>1223</v>
      </c>
      <c r="H566" s="93" t="s">
        <v>77</v>
      </c>
      <c r="I566" s="96">
        <f>IF(H566="ILF",IF($C$1="预估功能点",'模板使用说明&amp;基础参数'!$E$15,7),IF(H566="EIF",IF($C$1="预估功能点",'模板使用说明&amp;基础参数'!$E$16,5),IF(H566="EI",IF($C$1="预估功能点",'模板使用说明&amp;基础参数'!$E$17,'模板使用说明&amp;基础参数'!$E$24),IF(H566="EO",IF($C$1="预估功能点",'模板使用说明&amp;基础参数'!$E$18,'模板使用说明&amp;基础参数'!$E$25),IF(H566="EQ",IF($C$1="预估功能点",'模板使用说明&amp;基础参数'!$E$19,'模板使用说明&amp;基础参数'!$E$26),"")))))</f>
        <v>7</v>
      </c>
      <c r="J566" s="97" t="s">
        <v>38</v>
      </c>
      <c r="K566" s="97" t="s">
        <v>78</v>
      </c>
      <c r="L566" s="98">
        <f>IF(I566="","",IF(J566="高",IF(K566="删除",I566*'模板使用说明&amp;基础参数'!$E$5*'模板使用说明&amp;基础参数'!$E$12,IF(K566="修改",I566*'模板使用说明&amp;基础参数'!$E$5*'模板使用说明&amp;基础参数'!$E$11,I566*'模板使用说明&amp;基础参数'!$E$5*'模板使用说明&amp;基础参数'!$E$10)),IF(J566="中",IF(K566="删除",I566*'模板使用说明&amp;基础参数'!$E$6*'模板使用说明&amp;基础参数'!$E$12,IF(K566="修改",I566*'模板使用说明&amp;基础参数'!$E$6*'模板使用说明&amp;基础参数'!$E$11,I566*'模板使用说明&amp;基础参数'!$E$6*'模板使用说明&amp;基础参数'!$E$10)),IF(K566="删除",I566*'模板使用说明&amp;基础参数'!$E$7*'模板使用说明&amp;基础参数'!$E$12,IF(K566="修改",I566*'模板使用说明&amp;基础参数'!$E$7*'模板使用说明&amp;基础参数'!$E$11,I566*'模板使用说明&amp;基础参数'!$E$7*'模板使用说明&amp;基础参数'!$E$10)))))</f>
        <v>1.86666666666666</v>
      </c>
      <c r="M566" s="95"/>
      <c r="N566" s="99"/>
      <c r="O566" s="100"/>
    </row>
    <row r="567" s="70" customFormat="1" ht="25" customHeight="1" spans="1:15">
      <c r="A567" s="93">
        <v>562</v>
      </c>
      <c r="B567" s="94" t="s">
        <v>72</v>
      </c>
      <c r="C567" s="95" t="s">
        <v>73</v>
      </c>
      <c r="D567" s="95" t="s">
        <v>74</v>
      </c>
      <c r="E567" s="95" t="s">
        <v>74</v>
      </c>
      <c r="F567" s="95" t="s">
        <v>1224</v>
      </c>
      <c r="G567" s="95" t="s">
        <v>1225</v>
      </c>
      <c r="H567" s="93" t="s">
        <v>81</v>
      </c>
      <c r="I567" s="96">
        <f>IF(H567="ILF",IF($C$1="预估功能点",'模板使用说明&amp;基础参数'!$E$15,7),IF(H567="EIF",IF($C$1="预估功能点",'模板使用说明&amp;基础参数'!$E$16,5),IF(H567="EI",IF($C$1="预估功能点",'模板使用说明&amp;基础参数'!$E$17,'模板使用说明&amp;基础参数'!$E$24),IF(H567="EO",IF($C$1="预估功能点",'模板使用说明&amp;基础参数'!$E$18,'模板使用说明&amp;基础参数'!$E$25),IF(H567="EQ",IF($C$1="预估功能点",'模板使用说明&amp;基础参数'!$E$19,'模板使用说明&amp;基础参数'!$E$26),"")))))</f>
        <v>4</v>
      </c>
      <c r="J567" s="97" t="s">
        <v>38</v>
      </c>
      <c r="K567" s="97" t="s">
        <v>78</v>
      </c>
      <c r="L567" s="98">
        <f>IF(I567="","",IF(J567="高",IF(K567="删除",I567*'模板使用说明&amp;基础参数'!$E$5*'模板使用说明&amp;基础参数'!$E$12,IF(K567="修改",I567*'模板使用说明&amp;基础参数'!$E$5*'模板使用说明&amp;基础参数'!$E$11,I567*'模板使用说明&amp;基础参数'!$E$5*'模板使用说明&amp;基础参数'!$E$10)),IF(J567="中",IF(K567="删除",I567*'模板使用说明&amp;基础参数'!$E$6*'模板使用说明&amp;基础参数'!$E$12,IF(K567="修改",I567*'模板使用说明&amp;基础参数'!$E$6*'模板使用说明&amp;基础参数'!$E$11,I567*'模板使用说明&amp;基础参数'!$E$6*'模板使用说明&amp;基础参数'!$E$10)),IF(K567="删除",I567*'模板使用说明&amp;基础参数'!$E$7*'模板使用说明&amp;基础参数'!$E$12,IF(K567="修改",I567*'模板使用说明&amp;基础参数'!$E$7*'模板使用说明&amp;基础参数'!$E$11,I567*'模板使用说明&amp;基础参数'!$E$7*'模板使用说明&amp;基础参数'!$E$10)))))</f>
        <v>1.06666666666667</v>
      </c>
      <c r="M567" s="95"/>
      <c r="N567" s="99"/>
      <c r="O567" s="100"/>
    </row>
    <row r="568" s="70" customFormat="1" ht="25" customHeight="1" spans="1:15">
      <c r="A568" s="93">
        <v>563</v>
      </c>
      <c r="B568" s="94" t="s">
        <v>72</v>
      </c>
      <c r="C568" s="95" t="s">
        <v>73</v>
      </c>
      <c r="D568" s="95" t="s">
        <v>74</v>
      </c>
      <c r="E568" s="95" t="s">
        <v>74</v>
      </c>
      <c r="F568" s="95" t="s">
        <v>1226</v>
      </c>
      <c r="G568" s="95" t="s">
        <v>1227</v>
      </c>
      <c r="H568" s="93" t="s">
        <v>84</v>
      </c>
      <c r="I568" s="96">
        <f>IF(H568="ILF",IF($C$1="预估功能点",'模板使用说明&amp;基础参数'!$E$15,7),IF(H568="EIF",IF($C$1="预估功能点",'模板使用说明&amp;基础参数'!$E$16,5),IF(H568="EI",IF($C$1="预估功能点",'模板使用说明&amp;基础参数'!$E$17,'模板使用说明&amp;基础参数'!$E$24),IF(H568="EO",IF($C$1="预估功能点",'模板使用说明&amp;基础参数'!$E$18,'模板使用说明&amp;基础参数'!$E$25),IF(H568="EQ",IF($C$1="预估功能点",'模板使用说明&amp;基础参数'!$E$19,'模板使用说明&amp;基础参数'!$E$26),"")))))</f>
        <v>4</v>
      </c>
      <c r="J568" s="97" t="s">
        <v>38</v>
      </c>
      <c r="K568" s="97" t="s">
        <v>78</v>
      </c>
      <c r="L568" s="98">
        <f>IF(I568="","",IF(J568="高",IF(K568="删除",I568*'模板使用说明&amp;基础参数'!$E$5*'模板使用说明&amp;基础参数'!$E$12,IF(K568="修改",I568*'模板使用说明&amp;基础参数'!$E$5*'模板使用说明&amp;基础参数'!$E$11,I568*'模板使用说明&amp;基础参数'!$E$5*'模板使用说明&amp;基础参数'!$E$10)),IF(J568="中",IF(K568="删除",I568*'模板使用说明&amp;基础参数'!$E$6*'模板使用说明&amp;基础参数'!$E$12,IF(K568="修改",I568*'模板使用说明&amp;基础参数'!$E$6*'模板使用说明&amp;基础参数'!$E$11,I568*'模板使用说明&amp;基础参数'!$E$6*'模板使用说明&amp;基础参数'!$E$10)),IF(K568="删除",I568*'模板使用说明&amp;基础参数'!$E$7*'模板使用说明&amp;基础参数'!$E$12,IF(K568="修改",I568*'模板使用说明&amp;基础参数'!$E$7*'模板使用说明&amp;基础参数'!$E$11,I568*'模板使用说明&amp;基础参数'!$E$7*'模板使用说明&amp;基础参数'!$E$10)))))</f>
        <v>1.06666666666667</v>
      </c>
      <c r="M568" s="95"/>
      <c r="N568" s="99"/>
      <c r="O568" s="100"/>
    </row>
    <row r="569" s="70" customFormat="1" ht="25" customHeight="1" spans="1:15">
      <c r="A569" s="93">
        <v>564</v>
      </c>
      <c r="B569" s="94" t="s">
        <v>72</v>
      </c>
      <c r="C569" s="95" t="s">
        <v>73</v>
      </c>
      <c r="D569" s="95" t="s">
        <v>74</v>
      </c>
      <c r="E569" s="95" t="s">
        <v>74</v>
      </c>
      <c r="F569" s="95" t="s">
        <v>1228</v>
      </c>
      <c r="G569" s="95" t="s">
        <v>1229</v>
      </c>
      <c r="H569" s="93" t="s">
        <v>84</v>
      </c>
      <c r="I569" s="96">
        <f>IF(H569="ILF",IF($C$1="预估功能点",'模板使用说明&amp;基础参数'!$E$15,7),IF(H569="EIF",IF($C$1="预估功能点",'模板使用说明&amp;基础参数'!$E$16,5),IF(H569="EI",IF($C$1="预估功能点",'模板使用说明&amp;基础参数'!$E$17,'模板使用说明&amp;基础参数'!$E$24),IF(H569="EO",IF($C$1="预估功能点",'模板使用说明&amp;基础参数'!$E$18,'模板使用说明&amp;基础参数'!$E$25),IF(H569="EQ",IF($C$1="预估功能点",'模板使用说明&amp;基础参数'!$E$19,'模板使用说明&amp;基础参数'!$E$26),"")))))</f>
        <v>4</v>
      </c>
      <c r="J569" s="97" t="s">
        <v>38</v>
      </c>
      <c r="K569" s="97" t="s">
        <v>78</v>
      </c>
      <c r="L569" s="98">
        <f>IF(I569="","",IF(J569="高",IF(K569="删除",I569*'模板使用说明&amp;基础参数'!$E$5*'模板使用说明&amp;基础参数'!$E$12,IF(K569="修改",I569*'模板使用说明&amp;基础参数'!$E$5*'模板使用说明&amp;基础参数'!$E$11,I569*'模板使用说明&amp;基础参数'!$E$5*'模板使用说明&amp;基础参数'!$E$10)),IF(J569="中",IF(K569="删除",I569*'模板使用说明&amp;基础参数'!$E$6*'模板使用说明&amp;基础参数'!$E$12,IF(K569="修改",I569*'模板使用说明&amp;基础参数'!$E$6*'模板使用说明&amp;基础参数'!$E$11,I569*'模板使用说明&amp;基础参数'!$E$6*'模板使用说明&amp;基础参数'!$E$10)),IF(K569="删除",I569*'模板使用说明&amp;基础参数'!$E$7*'模板使用说明&amp;基础参数'!$E$12,IF(K569="修改",I569*'模板使用说明&amp;基础参数'!$E$7*'模板使用说明&amp;基础参数'!$E$11,I569*'模板使用说明&amp;基础参数'!$E$7*'模板使用说明&amp;基础参数'!$E$10)))))</f>
        <v>1.06666666666667</v>
      </c>
      <c r="M569" s="95"/>
      <c r="N569" s="99"/>
      <c r="O569" s="100"/>
    </row>
    <row r="570" s="70" customFormat="1" ht="25" customHeight="1" spans="1:15">
      <c r="A570" s="93">
        <v>565</v>
      </c>
      <c r="B570" s="94" t="s">
        <v>72</v>
      </c>
      <c r="C570" s="95" t="s">
        <v>73</v>
      </c>
      <c r="D570" s="95" t="s">
        <v>74</v>
      </c>
      <c r="E570" s="95" t="s">
        <v>74</v>
      </c>
      <c r="F570" s="95" t="s">
        <v>1230</v>
      </c>
      <c r="G570" s="95" t="s">
        <v>1231</v>
      </c>
      <c r="H570" s="93" t="s">
        <v>84</v>
      </c>
      <c r="I570" s="96">
        <f>IF(H570="ILF",IF($C$1="预估功能点",'模板使用说明&amp;基础参数'!$E$15,7),IF(H570="EIF",IF($C$1="预估功能点",'模板使用说明&amp;基础参数'!$E$16,5),IF(H570="EI",IF($C$1="预估功能点",'模板使用说明&amp;基础参数'!$E$17,'模板使用说明&amp;基础参数'!$E$24),IF(H570="EO",IF($C$1="预估功能点",'模板使用说明&amp;基础参数'!$E$18,'模板使用说明&amp;基础参数'!$E$25),IF(H570="EQ",IF($C$1="预估功能点",'模板使用说明&amp;基础参数'!$E$19,'模板使用说明&amp;基础参数'!$E$26),"")))))</f>
        <v>4</v>
      </c>
      <c r="J570" s="97" t="s">
        <v>38</v>
      </c>
      <c r="K570" s="97" t="s">
        <v>78</v>
      </c>
      <c r="L570" s="98">
        <f>IF(I570="","",IF(J570="高",IF(K570="删除",I570*'模板使用说明&amp;基础参数'!$E$5*'模板使用说明&amp;基础参数'!$E$12,IF(K570="修改",I570*'模板使用说明&amp;基础参数'!$E$5*'模板使用说明&amp;基础参数'!$E$11,I570*'模板使用说明&amp;基础参数'!$E$5*'模板使用说明&amp;基础参数'!$E$10)),IF(J570="中",IF(K570="删除",I570*'模板使用说明&amp;基础参数'!$E$6*'模板使用说明&amp;基础参数'!$E$12,IF(K570="修改",I570*'模板使用说明&amp;基础参数'!$E$6*'模板使用说明&amp;基础参数'!$E$11,I570*'模板使用说明&amp;基础参数'!$E$6*'模板使用说明&amp;基础参数'!$E$10)),IF(K570="删除",I570*'模板使用说明&amp;基础参数'!$E$7*'模板使用说明&amp;基础参数'!$E$12,IF(K570="修改",I570*'模板使用说明&amp;基础参数'!$E$7*'模板使用说明&amp;基础参数'!$E$11,I570*'模板使用说明&amp;基础参数'!$E$7*'模板使用说明&amp;基础参数'!$E$10)))))</f>
        <v>1.06666666666667</v>
      </c>
      <c r="M570" s="95"/>
      <c r="N570" s="99"/>
      <c r="O570" s="100"/>
    </row>
    <row r="571" s="70" customFormat="1" ht="25" customHeight="1" spans="1:15">
      <c r="A571" s="93">
        <v>566</v>
      </c>
      <c r="B571" s="94" t="s">
        <v>72</v>
      </c>
      <c r="C571" s="95" t="s">
        <v>276</v>
      </c>
      <c r="D571" s="95" t="s">
        <v>277</v>
      </c>
      <c r="E571" s="95" t="s">
        <v>277</v>
      </c>
      <c r="F571" s="95" t="s">
        <v>1232</v>
      </c>
      <c r="G571" s="95" t="s">
        <v>1233</v>
      </c>
      <c r="H571" s="93" t="s">
        <v>77</v>
      </c>
      <c r="I571" s="96">
        <f>IF(H571="ILF",IF($C$1="预估功能点",'模板使用说明&amp;基础参数'!$E$15,7),IF(H571="EIF",IF($C$1="预估功能点",'模板使用说明&amp;基础参数'!$E$16,5),IF(H571="EI",IF($C$1="预估功能点",'模板使用说明&amp;基础参数'!$E$17,'模板使用说明&amp;基础参数'!$E$24),IF(H571="EO",IF($C$1="预估功能点",'模板使用说明&amp;基础参数'!$E$18,'模板使用说明&amp;基础参数'!$E$25),IF(H571="EQ",IF($C$1="预估功能点",'模板使用说明&amp;基础参数'!$E$19,'模板使用说明&amp;基础参数'!$E$26),"")))))</f>
        <v>7</v>
      </c>
      <c r="J571" s="97" t="s">
        <v>38</v>
      </c>
      <c r="K571" s="97" t="s">
        <v>78</v>
      </c>
      <c r="L571" s="98">
        <f>IF(I571="","",IF(J571="高",IF(K571="删除",I571*'模板使用说明&amp;基础参数'!$E$5*'模板使用说明&amp;基础参数'!$E$12,IF(K571="修改",I571*'模板使用说明&amp;基础参数'!$E$5*'模板使用说明&amp;基础参数'!$E$11,I571*'模板使用说明&amp;基础参数'!$E$5*'模板使用说明&amp;基础参数'!$E$10)),IF(J571="中",IF(K571="删除",I571*'模板使用说明&amp;基础参数'!$E$6*'模板使用说明&amp;基础参数'!$E$12,IF(K571="修改",I571*'模板使用说明&amp;基础参数'!$E$6*'模板使用说明&amp;基础参数'!$E$11,I571*'模板使用说明&amp;基础参数'!$E$6*'模板使用说明&amp;基础参数'!$E$10)),IF(K571="删除",I571*'模板使用说明&amp;基础参数'!$E$7*'模板使用说明&amp;基础参数'!$E$12,IF(K571="修改",I571*'模板使用说明&amp;基础参数'!$E$7*'模板使用说明&amp;基础参数'!$E$11,I571*'模板使用说明&amp;基础参数'!$E$7*'模板使用说明&amp;基础参数'!$E$10)))))</f>
        <v>1.86666666666666</v>
      </c>
      <c r="M571" s="95"/>
      <c r="N571" s="99"/>
      <c r="O571" s="100"/>
    </row>
    <row r="572" s="70" customFormat="1" ht="25" customHeight="1" spans="1:15">
      <c r="A572" s="93">
        <v>567</v>
      </c>
      <c r="B572" s="94" t="s">
        <v>72</v>
      </c>
      <c r="C572" s="95" t="s">
        <v>276</v>
      </c>
      <c r="D572" s="95" t="s">
        <v>277</v>
      </c>
      <c r="E572" s="95" t="s">
        <v>277</v>
      </c>
      <c r="F572" s="95" t="s">
        <v>1234</v>
      </c>
      <c r="G572" s="95" t="s">
        <v>1235</v>
      </c>
      <c r="H572" s="93" t="s">
        <v>81</v>
      </c>
      <c r="I572" s="96">
        <f>IF(H572="ILF",IF($C$1="预估功能点",'模板使用说明&amp;基础参数'!$E$15,7),IF(H572="EIF",IF($C$1="预估功能点",'模板使用说明&amp;基础参数'!$E$16,5),IF(H572="EI",IF($C$1="预估功能点",'模板使用说明&amp;基础参数'!$E$17,'模板使用说明&amp;基础参数'!$E$24),IF(H572="EO",IF($C$1="预估功能点",'模板使用说明&amp;基础参数'!$E$18,'模板使用说明&amp;基础参数'!$E$25),IF(H572="EQ",IF($C$1="预估功能点",'模板使用说明&amp;基础参数'!$E$19,'模板使用说明&amp;基础参数'!$E$26),"")))))</f>
        <v>4</v>
      </c>
      <c r="J572" s="97" t="s">
        <v>38</v>
      </c>
      <c r="K572" s="97" t="s">
        <v>78</v>
      </c>
      <c r="L572" s="98">
        <f>IF(I572="","",IF(J572="高",IF(K572="删除",I572*'模板使用说明&amp;基础参数'!$E$5*'模板使用说明&amp;基础参数'!$E$12,IF(K572="修改",I572*'模板使用说明&amp;基础参数'!$E$5*'模板使用说明&amp;基础参数'!$E$11,I572*'模板使用说明&amp;基础参数'!$E$5*'模板使用说明&amp;基础参数'!$E$10)),IF(J572="中",IF(K572="删除",I572*'模板使用说明&amp;基础参数'!$E$6*'模板使用说明&amp;基础参数'!$E$12,IF(K572="修改",I572*'模板使用说明&amp;基础参数'!$E$6*'模板使用说明&amp;基础参数'!$E$11,I572*'模板使用说明&amp;基础参数'!$E$6*'模板使用说明&amp;基础参数'!$E$10)),IF(K572="删除",I572*'模板使用说明&amp;基础参数'!$E$7*'模板使用说明&amp;基础参数'!$E$12,IF(K572="修改",I572*'模板使用说明&amp;基础参数'!$E$7*'模板使用说明&amp;基础参数'!$E$11,I572*'模板使用说明&amp;基础参数'!$E$7*'模板使用说明&amp;基础参数'!$E$10)))))</f>
        <v>1.06666666666667</v>
      </c>
      <c r="M572" s="95"/>
      <c r="N572" s="99"/>
      <c r="O572" s="100"/>
    </row>
    <row r="573" s="70" customFormat="1" ht="25" customHeight="1" spans="1:15">
      <c r="A573" s="93">
        <v>568</v>
      </c>
      <c r="B573" s="94" t="s">
        <v>72</v>
      </c>
      <c r="C573" s="95" t="s">
        <v>276</v>
      </c>
      <c r="D573" s="95" t="s">
        <v>277</v>
      </c>
      <c r="E573" s="95" t="s">
        <v>277</v>
      </c>
      <c r="F573" s="95" t="s">
        <v>1236</v>
      </c>
      <c r="G573" s="95" t="s">
        <v>1237</v>
      </c>
      <c r="H573" s="93" t="s">
        <v>84</v>
      </c>
      <c r="I573" s="96">
        <f>IF(H573="ILF",IF($C$1="预估功能点",'模板使用说明&amp;基础参数'!$E$15,7),IF(H573="EIF",IF($C$1="预估功能点",'模板使用说明&amp;基础参数'!$E$16,5),IF(H573="EI",IF($C$1="预估功能点",'模板使用说明&amp;基础参数'!$E$17,'模板使用说明&amp;基础参数'!$E$24),IF(H573="EO",IF($C$1="预估功能点",'模板使用说明&amp;基础参数'!$E$18,'模板使用说明&amp;基础参数'!$E$25),IF(H573="EQ",IF($C$1="预估功能点",'模板使用说明&amp;基础参数'!$E$19,'模板使用说明&amp;基础参数'!$E$26),"")))))</f>
        <v>4</v>
      </c>
      <c r="J573" s="97" t="s">
        <v>38</v>
      </c>
      <c r="K573" s="97" t="s">
        <v>78</v>
      </c>
      <c r="L573" s="98">
        <f>IF(I573="","",IF(J573="高",IF(K573="删除",I573*'模板使用说明&amp;基础参数'!$E$5*'模板使用说明&amp;基础参数'!$E$12,IF(K573="修改",I573*'模板使用说明&amp;基础参数'!$E$5*'模板使用说明&amp;基础参数'!$E$11,I573*'模板使用说明&amp;基础参数'!$E$5*'模板使用说明&amp;基础参数'!$E$10)),IF(J573="中",IF(K573="删除",I573*'模板使用说明&amp;基础参数'!$E$6*'模板使用说明&amp;基础参数'!$E$12,IF(K573="修改",I573*'模板使用说明&amp;基础参数'!$E$6*'模板使用说明&amp;基础参数'!$E$11,I573*'模板使用说明&amp;基础参数'!$E$6*'模板使用说明&amp;基础参数'!$E$10)),IF(K573="删除",I573*'模板使用说明&amp;基础参数'!$E$7*'模板使用说明&amp;基础参数'!$E$12,IF(K573="修改",I573*'模板使用说明&amp;基础参数'!$E$7*'模板使用说明&amp;基础参数'!$E$11,I573*'模板使用说明&amp;基础参数'!$E$7*'模板使用说明&amp;基础参数'!$E$10)))))</f>
        <v>1.06666666666667</v>
      </c>
      <c r="M573" s="95"/>
      <c r="N573" s="99"/>
      <c r="O573" s="100"/>
    </row>
    <row r="574" s="70" customFormat="1" ht="25" customHeight="1" spans="1:15">
      <c r="A574" s="93">
        <v>569</v>
      </c>
      <c r="B574" s="94" t="s">
        <v>72</v>
      </c>
      <c r="C574" s="95" t="s">
        <v>276</v>
      </c>
      <c r="D574" s="95" t="s">
        <v>277</v>
      </c>
      <c r="E574" s="95" t="s">
        <v>277</v>
      </c>
      <c r="F574" s="95" t="s">
        <v>1238</v>
      </c>
      <c r="G574" s="95" t="s">
        <v>1239</v>
      </c>
      <c r="H574" s="93" t="s">
        <v>84</v>
      </c>
      <c r="I574" s="96">
        <f>IF(H574="ILF",IF($C$1="预估功能点",'模板使用说明&amp;基础参数'!$E$15,7),IF(H574="EIF",IF($C$1="预估功能点",'模板使用说明&amp;基础参数'!$E$16,5),IF(H574="EI",IF($C$1="预估功能点",'模板使用说明&amp;基础参数'!$E$17,'模板使用说明&amp;基础参数'!$E$24),IF(H574="EO",IF($C$1="预估功能点",'模板使用说明&amp;基础参数'!$E$18,'模板使用说明&amp;基础参数'!$E$25),IF(H574="EQ",IF($C$1="预估功能点",'模板使用说明&amp;基础参数'!$E$19,'模板使用说明&amp;基础参数'!$E$26),"")))))</f>
        <v>4</v>
      </c>
      <c r="J574" s="97" t="s">
        <v>38</v>
      </c>
      <c r="K574" s="97" t="s">
        <v>78</v>
      </c>
      <c r="L574" s="98">
        <f>IF(I574="","",IF(J574="高",IF(K574="删除",I574*'模板使用说明&amp;基础参数'!$E$5*'模板使用说明&amp;基础参数'!$E$12,IF(K574="修改",I574*'模板使用说明&amp;基础参数'!$E$5*'模板使用说明&amp;基础参数'!$E$11,I574*'模板使用说明&amp;基础参数'!$E$5*'模板使用说明&amp;基础参数'!$E$10)),IF(J574="中",IF(K574="删除",I574*'模板使用说明&amp;基础参数'!$E$6*'模板使用说明&amp;基础参数'!$E$12,IF(K574="修改",I574*'模板使用说明&amp;基础参数'!$E$6*'模板使用说明&amp;基础参数'!$E$11,I574*'模板使用说明&amp;基础参数'!$E$6*'模板使用说明&amp;基础参数'!$E$10)),IF(K574="删除",I574*'模板使用说明&amp;基础参数'!$E$7*'模板使用说明&amp;基础参数'!$E$12,IF(K574="修改",I574*'模板使用说明&amp;基础参数'!$E$7*'模板使用说明&amp;基础参数'!$E$11,I574*'模板使用说明&amp;基础参数'!$E$7*'模板使用说明&amp;基础参数'!$E$10)))))</f>
        <v>1.06666666666667</v>
      </c>
      <c r="M574" s="95"/>
      <c r="N574" s="99"/>
      <c r="O574" s="100"/>
    </row>
    <row r="575" s="70" customFormat="1" ht="25" customHeight="1" spans="1:15">
      <c r="A575" s="93">
        <v>570</v>
      </c>
      <c r="B575" s="94" t="s">
        <v>72</v>
      </c>
      <c r="C575" s="95" t="s">
        <v>276</v>
      </c>
      <c r="D575" s="95" t="s">
        <v>277</v>
      </c>
      <c r="E575" s="95" t="s">
        <v>277</v>
      </c>
      <c r="F575" s="95" t="s">
        <v>1240</v>
      </c>
      <c r="G575" s="95" t="s">
        <v>1241</v>
      </c>
      <c r="H575" s="93" t="s">
        <v>84</v>
      </c>
      <c r="I575" s="96">
        <f>IF(H575="ILF",IF($C$1="预估功能点",'模板使用说明&amp;基础参数'!$E$15,7),IF(H575="EIF",IF($C$1="预估功能点",'模板使用说明&amp;基础参数'!$E$16,5),IF(H575="EI",IF($C$1="预估功能点",'模板使用说明&amp;基础参数'!$E$17,'模板使用说明&amp;基础参数'!$E$24),IF(H575="EO",IF($C$1="预估功能点",'模板使用说明&amp;基础参数'!$E$18,'模板使用说明&amp;基础参数'!$E$25),IF(H575="EQ",IF($C$1="预估功能点",'模板使用说明&amp;基础参数'!$E$19,'模板使用说明&amp;基础参数'!$E$26),"")))))</f>
        <v>4</v>
      </c>
      <c r="J575" s="97" t="s">
        <v>38</v>
      </c>
      <c r="K575" s="97" t="s">
        <v>78</v>
      </c>
      <c r="L575" s="98">
        <f>IF(I575="","",IF(J575="高",IF(K575="删除",I575*'模板使用说明&amp;基础参数'!$E$5*'模板使用说明&amp;基础参数'!$E$12,IF(K575="修改",I575*'模板使用说明&amp;基础参数'!$E$5*'模板使用说明&amp;基础参数'!$E$11,I575*'模板使用说明&amp;基础参数'!$E$5*'模板使用说明&amp;基础参数'!$E$10)),IF(J575="中",IF(K575="删除",I575*'模板使用说明&amp;基础参数'!$E$6*'模板使用说明&amp;基础参数'!$E$12,IF(K575="修改",I575*'模板使用说明&amp;基础参数'!$E$6*'模板使用说明&amp;基础参数'!$E$11,I575*'模板使用说明&amp;基础参数'!$E$6*'模板使用说明&amp;基础参数'!$E$10)),IF(K575="删除",I575*'模板使用说明&amp;基础参数'!$E$7*'模板使用说明&amp;基础参数'!$E$12,IF(K575="修改",I575*'模板使用说明&amp;基础参数'!$E$7*'模板使用说明&amp;基础参数'!$E$11,I575*'模板使用说明&amp;基础参数'!$E$7*'模板使用说明&amp;基础参数'!$E$10)))))</f>
        <v>1.06666666666667</v>
      </c>
      <c r="M575" s="95"/>
      <c r="N575" s="99"/>
      <c r="O575" s="100"/>
    </row>
    <row r="576" s="70" customFormat="1" ht="25" customHeight="1" spans="1:15">
      <c r="A576" s="93">
        <v>571</v>
      </c>
      <c r="B576" s="94" t="s">
        <v>72</v>
      </c>
      <c r="C576" s="95" t="s">
        <v>276</v>
      </c>
      <c r="D576" s="95" t="s">
        <v>277</v>
      </c>
      <c r="E576" s="95" t="s">
        <v>277</v>
      </c>
      <c r="F576" s="95" t="s">
        <v>1242</v>
      </c>
      <c r="G576" s="95" t="s">
        <v>1243</v>
      </c>
      <c r="H576" s="93" t="s">
        <v>77</v>
      </c>
      <c r="I576" s="96">
        <f>IF(H576="ILF",IF($C$1="预估功能点",'模板使用说明&amp;基础参数'!$E$15,7),IF(H576="EIF",IF($C$1="预估功能点",'模板使用说明&amp;基础参数'!$E$16,5),IF(H576="EI",IF($C$1="预估功能点",'模板使用说明&amp;基础参数'!$E$17,'模板使用说明&amp;基础参数'!$E$24),IF(H576="EO",IF($C$1="预估功能点",'模板使用说明&amp;基础参数'!$E$18,'模板使用说明&amp;基础参数'!$E$25),IF(H576="EQ",IF($C$1="预估功能点",'模板使用说明&amp;基础参数'!$E$19,'模板使用说明&amp;基础参数'!$E$26),"")))))</f>
        <v>7</v>
      </c>
      <c r="J576" s="97" t="s">
        <v>38</v>
      </c>
      <c r="K576" s="97" t="s">
        <v>78</v>
      </c>
      <c r="L576" s="98">
        <f>IF(I576="","",IF(J576="高",IF(K576="删除",I576*'模板使用说明&amp;基础参数'!$E$5*'模板使用说明&amp;基础参数'!$E$12,IF(K576="修改",I576*'模板使用说明&amp;基础参数'!$E$5*'模板使用说明&amp;基础参数'!$E$11,I576*'模板使用说明&amp;基础参数'!$E$5*'模板使用说明&amp;基础参数'!$E$10)),IF(J576="中",IF(K576="删除",I576*'模板使用说明&amp;基础参数'!$E$6*'模板使用说明&amp;基础参数'!$E$12,IF(K576="修改",I576*'模板使用说明&amp;基础参数'!$E$6*'模板使用说明&amp;基础参数'!$E$11,I576*'模板使用说明&amp;基础参数'!$E$6*'模板使用说明&amp;基础参数'!$E$10)),IF(K576="删除",I576*'模板使用说明&amp;基础参数'!$E$7*'模板使用说明&amp;基础参数'!$E$12,IF(K576="修改",I576*'模板使用说明&amp;基础参数'!$E$7*'模板使用说明&amp;基础参数'!$E$11,I576*'模板使用说明&amp;基础参数'!$E$7*'模板使用说明&amp;基础参数'!$E$10)))))</f>
        <v>1.86666666666666</v>
      </c>
      <c r="M576" s="95"/>
      <c r="N576" s="99"/>
      <c r="O576" s="100"/>
    </row>
    <row r="577" s="70" customFormat="1" ht="25" customHeight="1" spans="1:15">
      <c r="A577" s="93">
        <v>572</v>
      </c>
      <c r="B577" s="94" t="s">
        <v>72</v>
      </c>
      <c r="C577" s="95" t="s">
        <v>276</v>
      </c>
      <c r="D577" s="95" t="s">
        <v>277</v>
      </c>
      <c r="E577" s="95" t="s">
        <v>277</v>
      </c>
      <c r="F577" s="95" t="s">
        <v>1244</v>
      </c>
      <c r="G577" s="95" t="s">
        <v>1245</v>
      </c>
      <c r="H577" s="93" t="s">
        <v>81</v>
      </c>
      <c r="I577" s="96">
        <f>IF(H577="ILF",IF($C$1="预估功能点",'模板使用说明&amp;基础参数'!$E$15,7),IF(H577="EIF",IF($C$1="预估功能点",'模板使用说明&amp;基础参数'!$E$16,5),IF(H577="EI",IF($C$1="预估功能点",'模板使用说明&amp;基础参数'!$E$17,'模板使用说明&amp;基础参数'!$E$24),IF(H577="EO",IF($C$1="预估功能点",'模板使用说明&amp;基础参数'!$E$18,'模板使用说明&amp;基础参数'!$E$25),IF(H577="EQ",IF($C$1="预估功能点",'模板使用说明&amp;基础参数'!$E$19,'模板使用说明&amp;基础参数'!$E$26),"")))))</f>
        <v>4</v>
      </c>
      <c r="J577" s="97" t="s">
        <v>38</v>
      </c>
      <c r="K577" s="97" t="s">
        <v>78</v>
      </c>
      <c r="L577" s="98">
        <f>IF(I577="","",IF(J577="高",IF(K577="删除",I577*'模板使用说明&amp;基础参数'!$E$5*'模板使用说明&amp;基础参数'!$E$12,IF(K577="修改",I577*'模板使用说明&amp;基础参数'!$E$5*'模板使用说明&amp;基础参数'!$E$11,I577*'模板使用说明&amp;基础参数'!$E$5*'模板使用说明&amp;基础参数'!$E$10)),IF(J577="中",IF(K577="删除",I577*'模板使用说明&amp;基础参数'!$E$6*'模板使用说明&amp;基础参数'!$E$12,IF(K577="修改",I577*'模板使用说明&amp;基础参数'!$E$6*'模板使用说明&amp;基础参数'!$E$11,I577*'模板使用说明&amp;基础参数'!$E$6*'模板使用说明&amp;基础参数'!$E$10)),IF(K577="删除",I577*'模板使用说明&amp;基础参数'!$E$7*'模板使用说明&amp;基础参数'!$E$12,IF(K577="修改",I577*'模板使用说明&amp;基础参数'!$E$7*'模板使用说明&amp;基础参数'!$E$11,I577*'模板使用说明&amp;基础参数'!$E$7*'模板使用说明&amp;基础参数'!$E$10)))))</f>
        <v>1.06666666666667</v>
      </c>
      <c r="M577" s="95"/>
      <c r="N577" s="99"/>
      <c r="O577" s="100"/>
    </row>
    <row r="578" s="70" customFormat="1" ht="25" customHeight="1" spans="1:15">
      <c r="A578" s="93">
        <v>573</v>
      </c>
      <c r="B578" s="94" t="s">
        <v>72</v>
      </c>
      <c r="C578" s="95" t="s">
        <v>276</v>
      </c>
      <c r="D578" s="95" t="s">
        <v>277</v>
      </c>
      <c r="E578" s="95" t="s">
        <v>277</v>
      </c>
      <c r="F578" s="95" t="s">
        <v>1246</v>
      </c>
      <c r="G578" s="95" t="s">
        <v>1247</v>
      </c>
      <c r="H578" s="93" t="s">
        <v>84</v>
      </c>
      <c r="I578" s="96">
        <f>IF(H578="ILF",IF($C$1="预估功能点",'模板使用说明&amp;基础参数'!$E$15,7),IF(H578="EIF",IF($C$1="预估功能点",'模板使用说明&amp;基础参数'!$E$16,5),IF(H578="EI",IF($C$1="预估功能点",'模板使用说明&amp;基础参数'!$E$17,'模板使用说明&amp;基础参数'!$E$24),IF(H578="EO",IF($C$1="预估功能点",'模板使用说明&amp;基础参数'!$E$18,'模板使用说明&amp;基础参数'!$E$25),IF(H578="EQ",IF($C$1="预估功能点",'模板使用说明&amp;基础参数'!$E$19,'模板使用说明&amp;基础参数'!$E$26),"")))))</f>
        <v>4</v>
      </c>
      <c r="J578" s="97" t="s">
        <v>38</v>
      </c>
      <c r="K578" s="97" t="s">
        <v>78</v>
      </c>
      <c r="L578" s="98">
        <f>IF(I578="","",IF(J578="高",IF(K578="删除",I578*'模板使用说明&amp;基础参数'!$E$5*'模板使用说明&amp;基础参数'!$E$12,IF(K578="修改",I578*'模板使用说明&amp;基础参数'!$E$5*'模板使用说明&amp;基础参数'!$E$11,I578*'模板使用说明&amp;基础参数'!$E$5*'模板使用说明&amp;基础参数'!$E$10)),IF(J578="中",IF(K578="删除",I578*'模板使用说明&amp;基础参数'!$E$6*'模板使用说明&amp;基础参数'!$E$12,IF(K578="修改",I578*'模板使用说明&amp;基础参数'!$E$6*'模板使用说明&amp;基础参数'!$E$11,I578*'模板使用说明&amp;基础参数'!$E$6*'模板使用说明&amp;基础参数'!$E$10)),IF(K578="删除",I578*'模板使用说明&amp;基础参数'!$E$7*'模板使用说明&amp;基础参数'!$E$12,IF(K578="修改",I578*'模板使用说明&amp;基础参数'!$E$7*'模板使用说明&amp;基础参数'!$E$11,I578*'模板使用说明&amp;基础参数'!$E$7*'模板使用说明&amp;基础参数'!$E$10)))))</f>
        <v>1.06666666666667</v>
      </c>
      <c r="M578" s="95"/>
      <c r="N578" s="99"/>
      <c r="O578" s="100"/>
    </row>
    <row r="579" s="70" customFormat="1" ht="25" customHeight="1" spans="1:15">
      <c r="A579" s="93">
        <v>574</v>
      </c>
      <c r="B579" s="94" t="s">
        <v>72</v>
      </c>
      <c r="C579" s="95" t="s">
        <v>276</v>
      </c>
      <c r="D579" s="95" t="s">
        <v>277</v>
      </c>
      <c r="E579" s="95" t="s">
        <v>277</v>
      </c>
      <c r="F579" s="95" t="s">
        <v>1248</v>
      </c>
      <c r="G579" s="95" t="s">
        <v>1249</v>
      </c>
      <c r="H579" s="93" t="s">
        <v>84</v>
      </c>
      <c r="I579" s="96">
        <f>IF(H579="ILF",IF($C$1="预估功能点",'模板使用说明&amp;基础参数'!$E$15,7),IF(H579="EIF",IF($C$1="预估功能点",'模板使用说明&amp;基础参数'!$E$16,5),IF(H579="EI",IF($C$1="预估功能点",'模板使用说明&amp;基础参数'!$E$17,'模板使用说明&amp;基础参数'!$E$24),IF(H579="EO",IF($C$1="预估功能点",'模板使用说明&amp;基础参数'!$E$18,'模板使用说明&amp;基础参数'!$E$25),IF(H579="EQ",IF($C$1="预估功能点",'模板使用说明&amp;基础参数'!$E$19,'模板使用说明&amp;基础参数'!$E$26),"")))))</f>
        <v>4</v>
      </c>
      <c r="J579" s="97" t="s">
        <v>38</v>
      </c>
      <c r="K579" s="97" t="s">
        <v>78</v>
      </c>
      <c r="L579" s="98">
        <f>IF(I579="","",IF(J579="高",IF(K579="删除",I579*'模板使用说明&amp;基础参数'!$E$5*'模板使用说明&amp;基础参数'!$E$12,IF(K579="修改",I579*'模板使用说明&amp;基础参数'!$E$5*'模板使用说明&amp;基础参数'!$E$11,I579*'模板使用说明&amp;基础参数'!$E$5*'模板使用说明&amp;基础参数'!$E$10)),IF(J579="中",IF(K579="删除",I579*'模板使用说明&amp;基础参数'!$E$6*'模板使用说明&amp;基础参数'!$E$12,IF(K579="修改",I579*'模板使用说明&amp;基础参数'!$E$6*'模板使用说明&amp;基础参数'!$E$11,I579*'模板使用说明&amp;基础参数'!$E$6*'模板使用说明&amp;基础参数'!$E$10)),IF(K579="删除",I579*'模板使用说明&amp;基础参数'!$E$7*'模板使用说明&amp;基础参数'!$E$12,IF(K579="修改",I579*'模板使用说明&amp;基础参数'!$E$7*'模板使用说明&amp;基础参数'!$E$11,I579*'模板使用说明&amp;基础参数'!$E$7*'模板使用说明&amp;基础参数'!$E$10)))))</f>
        <v>1.06666666666667</v>
      </c>
      <c r="M579" s="95"/>
      <c r="N579" s="99"/>
      <c r="O579" s="100"/>
    </row>
    <row r="580" s="70" customFormat="1" ht="25" customHeight="1" spans="1:15">
      <c r="A580" s="93">
        <v>575</v>
      </c>
      <c r="B580" s="94" t="s">
        <v>72</v>
      </c>
      <c r="C580" s="95" t="s">
        <v>276</v>
      </c>
      <c r="D580" s="95" t="s">
        <v>277</v>
      </c>
      <c r="E580" s="95" t="s">
        <v>277</v>
      </c>
      <c r="F580" s="95" t="s">
        <v>1250</v>
      </c>
      <c r="G580" s="95" t="s">
        <v>1251</v>
      </c>
      <c r="H580" s="93" t="s">
        <v>84</v>
      </c>
      <c r="I580" s="96">
        <f>IF(H580="ILF",IF($C$1="预估功能点",'模板使用说明&amp;基础参数'!$E$15,7),IF(H580="EIF",IF($C$1="预估功能点",'模板使用说明&amp;基础参数'!$E$16,5),IF(H580="EI",IF($C$1="预估功能点",'模板使用说明&amp;基础参数'!$E$17,'模板使用说明&amp;基础参数'!$E$24),IF(H580="EO",IF($C$1="预估功能点",'模板使用说明&amp;基础参数'!$E$18,'模板使用说明&amp;基础参数'!$E$25),IF(H580="EQ",IF($C$1="预估功能点",'模板使用说明&amp;基础参数'!$E$19,'模板使用说明&amp;基础参数'!$E$26),"")))))</f>
        <v>4</v>
      </c>
      <c r="J580" s="97" t="s">
        <v>38</v>
      </c>
      <c r="K580" s="97" t="s">
        <v>78</v>
      </c>
      <c r="L580" s="98">
        <f>IF(I580="","",IF(J580="高",IF(K580="删除",I580*'模板使用说明&amp;基础参数'!$E$5*'模板使用说明&amp;基础参数'!$E$12,IF(K580="修改",I580*'模板使用说明&amp;基础参数'!$E$5*'模板使用说明&amp;基础参数'!$E$11,I580*'模板使用说明&amp;基础参数'!$E$5*'模板使用说明&amp;基础参数'!$E$10)),IF(J580="中",IF(K580="删除",I580*'模板使用说明&amp;基础参数'!$E$6*'模板使用说明&amp;基础参数'!$E$12,IF(K580="修改",I580*'模板使用说明&amp;基础参数'!$E$6*'模板使用说明&amp;基础参数'!$E$11,I580*'模板使用说明&amp;基础参数'!$E$6*'模板使用说明&amp;基础参数'!$E$10)),IF(K580="删除",I580*'模板使用说明&amp;基础参数'!$E$7*'模板使用说明&amp;基础参数'!$E$12,IF(K580="修改",I580*'模板使用说明&amp;基础参数'!$E$7*'模板使用说明&amp;基础参数'!$E$11,I580*'模板使用说明&amp;基础参数'!$E$7*'模板使用说明&amp;基础参数'!$E$10)))))</f>
        <v>1.06666666666667</v>
      </c>
      <c r="M580" s="95"/>
      <c r="N580" s="99"/>
      <c r="O580" s="100"/>
    </row>
    <row r="581" s="70" customFormat="1" ht="25" customHeight="1" spans="1:15">
      <c r="A581" s="93">
        <v>576</v>
      </c>
      <c r="B581" s="94" t="s">
        <v>72</v>
      </c>
      <c r="C581" s="95" t="s">
        <v>276</v>
      </c>
      <c r="D581" s="95" t="s">
        <v>277</v>
      </c>
      <c r="E581" s="95" t="s">
        <v>277</v>
      </c>
      <c r="F581" s="95" t="s">
        <v>1252</v>
      </c>
      <c r="G581" s="95" t="s">
        <v>1253</v>
      </c>
      <c r="H581" s="93" t="s">
        <v>77</v>
      </c>
      <c r="I581" s="96">
        <f>IF(H581="ILF",IF($C$1="预估功能点",'模板使用说明&amp;基础参数'!$E$15,7),IF(H581="EIF",IF($C$1="预估功能点",'模板使用说明&amp;基础参数'!$E$16,5),IF(H581="EI",IF($C$1="预估功能点",'模板使用说明&amp;基础参数'!$E$17,'模板使用说明&amp;基础参数'!$E$24),IF(H581="EO",IF($C$1="预估功能点",'模板使用说明&amp;基础参数'!$E$18,'模板使用说明&amp;基础参数'!$E$25),IF(H581="EQ",IF($C$1="预估功能点",'模板使用说明&amp;基础参数'!$E$19,'模板使用说明&amp;基础参数'!$E$26),"")))))</f>
        <v>7</v>
      </c>
      <c r="J581" s="97" t="s">
        <v>38</v>
      </c>
      <c r="K581" s="97" t="s">
        <v>78</v>
      </c>
      <c r="L581" s="98">
        <f>IF(I581="","",IF(J581="高",IF(K581="删除",I581*'模板使用说明&amp;基础参数'!$E$5*'模板使用说明&amp;基础参数'!$E$12,IF(K581="修改",I581*'模板使用说明&amp;基础参数'!$E$5*'模板使用说明&amp;基础参数'!$E$11,I581*'模板使用说明&amp;基础参数'!$E$5*'模板使用说明&amp;基础参数'!$E$10)),IF(J581="中",IF(K581="删除",I581*'模板使用说明&amp;基础参数'!$E$6*'模板使用说明&amp;基础参数'!$E$12,IF(K581="修改",I581*'模板使用说明&amp;基础参数'!$E$6*'模板使用说明&amp;基础参数'!$E$11,I581*'模板使用说明&amp;基础参数'!$E$6*'模板使用说明&amp;基础参数'!$E$10)),IF(K581="删除",I581*'模板使用说明&amp;基础参数'!$E$7*'模板使用说明&amp;基础参数'!$E$12,IF(K581="修改",I581*'模板使用说明&amp;基础参数'!$E$7*'模板使用说明&amp;基础参数'!$E$11,I581*'模板使用说明&amp;基础参数'!$E$7*'模板使用说明&amp;基础参数'!$E$10)))))</f>
        <v>1.86666666666666</v>
      </c>
      <c r="M581" s="95"/>
      <c r="N581" s="99"/>
      <c r="O581" s="100"/>
    </row>
    <row r="582" s="70" customFormat="1" ht="25" customHeight="1" spans="1:15">
      <c r="A582" s="93">
        <v>577</v>
      </c>
      <c r="B582" s="94" t="s">
        <v>72</v>
      </c>
      <c r="C582" s="95" t="s">
        <v>276</v>
      </c>
      <c r="D582" s="95" t="s">
        <v>277</v>
      </c>
      <c r="E582" s="95" t="s">
        <v>277</v>
      </c>
      <c r="F582" s="95" t="s">
        <v>1254</v>
      </c>
      <c r="G582" s="95" t="s">
        <v>1255</v>
      </c>
      <c r="H582" s="93" t="s">
        <v>81</v>
      </c>
      <c r="I582" s="96">
        <f>IF(H582="ILF",IF($C$1="预估功能点",'模板使用说明&amp;基础参数'!$E$15,7),IF(H582="EIF",IF($C$1="预估功能点",'模板使用说明&amp;基础参数'!$E$16,5),IF(H582="EI",IF($C$1="预估功能点",'模板使用说明&amp;基础参数'!$E$17,'模板使用说明&amp;基础参数'!$E$24),IF(H582="EO",IF($C$1="预估功能点",'模板使用说明&amp;基础参数'!$E$18,'模板使用说明&amp;基础参数'!$E$25),IF(H582="EQ",IF($C$1="预估功能点",'模板使用说明&amp;基础参数'!$E$19,'模板使用说明&amp;基础参数'!$E$26),"")))))</f>
        <v>4</v>
      </c>
      <c r="J582" s="97" t="s">
        <v>38</v>
      </c>
      <c r="K582" s="97" t="s">
        <v>78</v>
      </c>
      <c r="L582" s="98">
        <f>IF(I582="","",IF(J582="高",IF(K582="删除",I582*'模板使用说明&amp;基础参数'!$E$5*'模板使用说明&amp;基础参数'!$E$12,IF(K582="修改",I582*'模板使用说明&amp;基础参数'!$E$5*'模板使用说明&amp;基础参数'!$E$11,I582*'模板使用说明&amp;基础参数'!$E$5*'模板使用说明&amp;基础参数'!$E$10)),IF(J582="中",IF(K582="删除",I582*'模板使用说明&amp;基础参数'!$E$6*'模板使用说明&amp;基础参数'!$E$12,IF(K582="修改",I582*'模板使用说明&amp;基础参数'!$E$6*'模板使用说明&amp;基础参数'!$E$11,I582*'模板使用说明&amp;基础参数'!$E$6*'模板使用说明&amp;基础参数'!$E$10)),IF(K582="删除",I582*'模板使用说明&amp;基础参数'!$E$7*'模板使用说明&amp;基础参数'!$E$12,IF(K582="修改",I582*'模板使用说明&amp;基础参数'!$E$7*'模板使用说明&amp;基础参数'!$E$11,I582*'模板使用说明&amp;基础参数'!$E$7*'模板使用说明&amp;基础参数'!$E$10)))))</f>
        <v>1.06666666666667</v>
      </c>
      <c r="M582" s="95"/>
      <c r="N582" s="99"/>
      <c r="O582" s="100"/>
    </row>
    <row r="583" s="70" customFormat="1" ht="25" customHeight="1" spans="1:15">
      <c r="A583" s="93">
        <v>578</v>
      </c>
      <c r="B583" s="94" t="s">
        <v>72</v>
      </c>
      <c r="C583" s="95" t="s">
        <v>276</v>
      </c>
      <c r="D583" s="95" t="s">
        <v>277</v>
      </c>
      <c r="E583" s="95" t="s">
        <v>277</v>
      </c>
      <c r="F583" s="95" t="s">
        <v>1256</v>
      </c>
      <c r="G583" s="95" t="s">
        <v>1257</v>
      </c>
      <c r="H583" s="93" t="s">
        <v>84</v>
      </c>
      <c r="I583" s="96">
        <f>IF(H583="ILF",IF($C$1="预估功能点",'模板使用说明&amp;基础参数'!$E$15,7),IF(H583="EIF",IF($C$1="预估功能点",'模板使用说明&amp;基础参数'!$E$16,5),IF(H583="EI",IF($C$1="预估功能点",'模板使用说明&amp;基础参数'!$E$17,'模板使用说明&amp;基础参数'!$E$24),IF(H583="EO",IF($C$1="预估功能点",'模板使用说明&amp;基础参数'!$E$18,'模板使用说明&amp;基础参数'!$E$25),IF(H583="EQ",IF($C$1="预估功能点",'模板使用说明&amp;基础参数'!$E$19,'模板使用说明&amp;基础参数'!$E$26),"")))))</f>
        <v>4</v>
      </c>
      <c r="J583" s="97" t="s">
        <v>38</v>
      </c>
      <c r="K583" s="97" t="s">
        <v>78</v>
      </c>
      <c r="L583" s="98">
        <f>IF(I583="","",IF(J583="高",IF(K583="删除",I583*'模板使用说明&amp;基础参数'!$E$5*'模板使用说明&amp;基础参数'!$E$12,IF(K583="修改",I583*'模板使用说明&amp;基础参数'!$E$5*'模板使用说明&amp;基础参数'!$E$11,I583*'模板使用说明&amp;基础参数'!$E$5*'模板使用说明&amp;基础参数'!$E$10)),IF(J583="中",IF(K583="删除",I583*'模板使用说明&amp;基础参数'!$E$6*'模板使用说明&amp;基础参数'!$E$12,IF(K583="修改",I583*'模板使用说明&amp;基础参数'!$E$6*'模板使用说明&amp;基础参数'!$E$11,I583*'模板使用说明&amp;基础参数'!$E$6*'模板使用说明&amp;基础参数'!$E$10)),IF(K583="删除",I583*'模板使用说明&amp;基础参数'!$E$7*'模板使用说明&amp;基础参数'!$E$12,IF(K583="修改",I583*'模板使用说明&amp;基础参数'!$E$7*'模板使用说明&amp;基础参数'!$E$11,I583*'模板使用说明&amp;基础参数'!$E$7*'模板使用说明&amp;基础参数'!$E$10)))))</f>
        <v>1.06666666666667</v>
      </c>
      <c r="M583" s="95"/>
      <c r="N583" s="99"/>
      <c r="O583" s="100"/>
    </row>
    <row r="584" s="70" customFormat="1" ht="25" customHeight="1" spans="1:15">
      <c r="A584" s="93">
        <v>579</v>
      </c>
      <c r="B584" s="94" t="s">
        <v>72</v>
      </c>
      <c r="C584" s="95" t="s">
        <v>276</v>
      </c>
      <c r="D584" s="95" t="s">
        <v>277</v>
      </c>
      <c r="E584" s="95" t="s">
        <v>277</v>
      </c>
      <c r="F584" s="95" t="s">
        <v>1258</v>
      </c>
      <c r="G584" s="95" t="s">
        <v>1259</v>
      </c>
      <c r="H584" s="93" t="s">
        <v>84</v>
      </c>
      <c r="I584" s="96">
        <f>IF(H584="ILF",IF($C$1="预估功能点",'模板使用说明&amp;基础参数'!$E$15,7),IF(H584="EIF",IF($C$1="预估功能点",'模板使用说明&amp;基础参数'!$E$16,5),IF(H584="EI",IF($C$1="预估功能点",'模板使用说明&amp;基础参数'!$E$17,'模板使用说明&amp;基础参数'!$E$24),IF(H584="EO",IF($C$1="预估功能点",'模板使用说明&amp;基础参数'!$E$18,'模板使用说明&amp;基础参数'!$E$25),IF(H584="EQ",IF($C$1="预估功能点",'模板使用说明&amp;基础参数'!$E$19,'模板使用说明&amp;基础参数'!$E$26),"")))))</f>
        <v>4</v>
      </c>
      <c r="J584" s="97" t="s">
        <v>38</v>
      </c>
      <c r="K584" s="97" t="s">
        <v>78</v>
      </c>
      <c r="L584" s="98">
        <f>IF(I584="","",IF(J584="高",IF(K584="删除",I584*'模板使用说明&amp;基础参数'!$E$5*'模板使用说明&amp;基础参数'!$E$12,IF(K584="修改",I584*'模板使用说明&amp;基础参数'!$E$5*'模板使用说明&amp;基础参数'!$E$11,I584*'模板使用说明&amp;基础参数'!$E$5*'模板使用说明&amp;基础参数'!$E$10)),IF(J584="中",IF(K584="删除",I584*'模板使用说明&amp;基础参数'!$E$6*'模板使用说明&amp;基础参数'!$E$12,IF(K584="修改",I584*'模板使用说明&amp;基础参数'!$E$6*'模板使用说明&amp;基础参数'!$E$11,I584*'模板使用说明&amp;基础参数'!$E$6*'模板使用说明&amp;基础参数'!$E$10)),IF(K584="删除",I584*'模板使用说明&amp;基础参数'!$E$7*'模板使用说明&amp;基础参数'!$E$12,IF(K584="修改",I584*'模板使用说明&amp;基础参数'!$E$7*'模板使用说明&amp;基础参数'!$E$11,I584*'模板使用说明&amp;基础参数'!$E$7*'模板使用说明&amp;基础参数'!$E$10)))))</f>
        <v>1.06666666666667</v>
      </c>
      <c r="M584" s="95"/>
      <c r="N584" s="99"/>
      <c r="O584" s="100"/>
    </row>
    <row r="585" s="70" customFormat="1" ht="25" customHeight="1" spans="1:15">
      <c r="A585" s="93">
        <v>580</v>
      </c>
      <c r="B585" s="94" t="s">
        <v>72</v>
      </c>
      <c r="C585" s="95" t="s">
        <v>276</v>
      </c>
      <c r="D585" s="95" t="s">
        <v>277</v>
      </c>
      <c r="E585" s="95" t="s">
        <v>277</v>
      </c>
      <c r="F585" s="95" t="s">
        <v>1260</v>
      </c>
      <c r="G585" s="95" t="s">
        <v>1261</v>
      </c>
      <c r="H585" s="93" t="s">
        <v>84</v>
      </c>
      <c r="I585" s="96">
        <f>IF(H585="ILF",IF($C$1="预估功能点",'模板使用说明&amp;基础参数'!$E$15,7),IF(H585="EIF",IF($C$1="预估功能点",'模板使用说明&amp;基础参数'!$E$16,5),IF(H585="EI",IF($C$1="预估功能点",'模板使用说明&amp;基础参数'!$E$17,'模板使用说明&amp;基础参数'!$E$24),IF(H585="EO",IF($C$1="预估功能点",'模板使用说明&amp;基础参数'!$E$18,'模板使用说明&amp;基础参数'!$E$25),IF(H585="EQ",IF($C$1="预估功能点",'模板使用说明&amp;基础参数'!$E$19,'模板使用说明&amp;基础参数'!$E$26),"")))))</f>
        <v>4</v>
      </c>
      <c r="J585" s="97" t="s">
        <v>38</v>
      </c>
      <c r="K585" s="97" t="s">
        <v>78</v>
      </c>
      <c r="L585" s="98">
        <f>IF(I585="","",IF(J585="高",IF(K585="删除",I585*'模板使用说明&amp;基础参数'!$E$5*'模板使用说明&amp;基础参数'!$E$12,IF(K585="修改",I585*'模板使用说明&amp;基础参数'!$E$5*'模板使用说明&amp;基础参数'!$E$11,I585*'模板使用说明&amp;基础参数'!$E$5*'模板使用说明&amp;基础参数'!$E$10)),IF(J585="中",IF(K585="删除",I585*'模板使用说明&amp;基础参数'!$E$6*'模板使用说明&amp;基础参数'!$E$12,IF(K585="修改",I585*'模板使用说明&amp;基础参数'!$E$6*'模板使用说明&amp;基础参数'!$E$11,I585*'模板使用说明&amp;基础参数'!$E$6*'模板使用说明&amp;基础参数'!$E$10)),IF(K585="删除",I585*'模板使用说明&amp;基础参数'!$E$7*'模板使用说明&amp;基础参数'!$E$12,IF(K585="修改",I585*'模板使用说明&amp;基础参数'!$E$7*'模板使用说明&amp;基础参数'!$E$11,I585*'模板使用说明&amp;基础参数'!$E$7*'模板使用说明&amp;基础参数'!$E$10)))))</f>
        <v>1.06666666666667</v>
      </c>
      <c r="M585" s="95"/>
      <c r="N585" s="99"/>
      <c r="O585" s="100"/>
    </row>
    <row r="586" s="70" customFormat="1" ht="25" customHeight="1" spans="1:15">
      <c r="A586" s="93">
        <v>581</v>
      </c>
      <c r="B586" s="94" t="s">
        <v>72</v>
      </c>
      <c r="C586" s="95" t="s">
        <v>276</v>
      </c>
      <c r="D586" s="95" t="s">
        <v>277</v>
      </c>
      <c r="E586" s="95" t="s">
        <v>277</v>
      </c>
      <c r="F586" s="95" t="s">
        <v>1262</v>
      </c>
      <c r="G586" s="95" t="s">
        <v>1263</v>
      </c>
      <c r="H586" s="93" t="s">
        <v>77</v>
      </c>
      <c r="I586" s="96">
        <f>IF(H586="ILF",IF($C$1="预估功能点",'模板使用说明&amp;基础参数'!$E$15,7),IF(H586="EIF",IF($C$1="预估功能点",'模板使用说明&amp;基础参数'!$E$16,5),IF(H586="EI",IF($C$1="预估功能点",'模板使用说明&amp;基础参数'!$E$17,'模板使用说明&amp;基础参数'!$E$24),IF(H586="EO",IF($C$1="预估功能点",'模板使用说明&amp;基础参数'!$E$18,'模板使用说明&amp;基础参数'!$E$25),IF(H586="EQ",IF($C$1="预估功能点",'模板使用说明&amp;基础参数'!$E$19,'模板使用说明&amp;基础参数'!$E$26),"")))))</f>
        <v>7</v>
      </c>
      <c r="J586" s="97" t="s">
        <v>38</v>
      </c>
      <c r="K586" s="97" t="s">
        <v>78</v>
      </c>
      <c r="L586" s="98">
        <f>IF(I586="","",IF(J586="高",IF(K586="删除",I586*'模板使用说明&amp;基础参数'!$E$5*'模板使用说明&amp;基础参数'!$E$12,IF(K586="修改",I586*'模板使用说明&amp;基础参数'!$E$5*'模板使用说明&amp;基础参数'!$E$11,I586*'模板使用说明&amp;基础参数'!$E$5*'模板使用说明&amp;基础参数'!$E$10)),IF(J586="中",IF(K586="删除",I586*'模板使用说明&amp;基础参数'!$E$6*'模板使用说明&amp;基础参数'!$E$12,IF(K586="修改",I586*'模板使用说明&amp;基础参数'!$E$6*'模板使用说明&amp;基础参数'!$E$11,I586*'模板使用说明&amp;基础参数'!$E$6*'模板使用说明&amp;基础参数'!$E$10)),IF(K586="删除",I586*'模板使用说明&amp;基础参数'!$E$7*'模板使用说明&amp;基础参数'!$E$12,IF(K586="修改",I586*'模板使用说明&amp;基础参数'!$E$7*'模板使用说明&amp;基础参数'!$E$11,I586*'模板使用说明&amp;基础参数'!$E$7*'模板使用说明&amp;基础参数'!$E$10)))))</f>
        <v>1.86666666666666</v>
      </c>
      <c r="M586" s="95"/>
      <c r="N586" s="99"/>
      <c r="O586" s="100"/>
    </row>
    <row r="587" s="70" customFormat="1" ht="25" customHeight="1" spans="1:15">
      <c r="A587" s="93">
        <v>582</v>
      </c>
      <c r="B587" s="94" t="s">
        <v>72</v>
      </c>
      <c r="C587" s="95" t="s">
        <v>276</v>
      </c>
      <c r="D587" s="95" t="s">
        <v>277</v>
      </c>
      <c r="E587" s="95" t="s">
        <v>277</v>
      </c>
      <c r="F587" s="95" t="s">
        <v>1264</v>
      </c>
      <c r="G587" s="95" t="s">
        <v>1265</v>
      </c>
      <c r="H587" s="93" t="s">
        <v>81</v>
      </c>
      <c r="I587" s="96">
        <f>IF(H587="ILF",IF($C$1="预估功能点",'模板使用说明&amp;基础参数'!$E$15,7),IF(H587="EIF",IF($C$1="预估功能点",'模板使用说明&amp;基础参数'!$E$16,5),IF(H587="EI",IF($C$1="预估功能点",'模板使用说明&amp;基础参数'!$E$17,'模板使用说明&amp;基础参数'!$E$24),IF(H587="EO",IF($C$1="预估功能点",'模板使用说明&amp;基础参数'!$E$18,'模板使用说明&amp;基础参数'!$E$25),IF(H587="EQ",IF($C$1="预估功能点",'模板使用说明&amp;基础参数'!$E$19,'模板使用说明&amp;基础参数'!$E$26),"")))))</f>
        <v>4</v>
      </c>
      <c r="J587" s="97" t="s">
        <v>38</v>
      </c>
      <c r="K587" s="97" t="s">
        <v>78</v>
      </c>
      <c r="L587" s="98">
        <f>IF(I587="","",IF(J587="高",IF(K587="删除",I587*'模板使用说明&amp;基础参数'!$E$5*'模板使用说明&amp;基础参数'!$E$12,IF(K587="修改",I587*'模板使用说明&amp;基础参数'!$E$5*'模板使用说明&amp;基础参数'!$E$11,I587*'模板使用说明&amp;基础参数'!$E$5*'模板使用说明&amp;基础参数'!$E$10)),IF(J587="中",IF(K587="删除",I587*'模板使用说明&amp;基础参数'!$E$6*'模板使用说明&amp;基础参数'!$E$12,IF(K587="修改",I587*'模板使用说明&amp;基础参数'!$E$6*'模板使用说明&amp;基础参数'!$E$11,I587*'模板使用说明&amp;基础参数'!$E$6*'模板使用说明&amp;基础参数'!$E$10)),IF(K587="删除",I587*'模板使用说明&amp;基础参数'!$E$7*'模板使用说明&amp;基础参数'!$E$12,IF(K587="修改",I587*'模板使用说明&amp;基础参数'!$E$7*'模板使用说明&amp;基础参数'!$E$11,I587*'模板使用说明&amp;基础参数'!$E$7*'模板使用说明&amp;基础参数'!$E$10)))))</f>
        <v>1.06666666666667</v>
      </c>
      <c r="M587" s="95"/>
      <c r="N587" s="99"/>
      <c r="O587" s="100"/>
    </row>
    <row r="588" s="70" customFormat="1" ht="25" customHeight="1" spans="1:15">
      <c r="A588" s="93">
        <v>583</v>
      </c>
      <c r="B588" s="94" t="s">
        <v>72</v>
      </c>
      <c r="C588" s="95" t="s">
        <v>276</v>
      </c>
      <c r="D588" s="95" t="s">
        <v>277</v>
      </c>
      <c r="E588" s="95" t="s">
        <v>277</v>
      </c>
      <c r="F588" s="95" t="s">
        <v>1266</v>
      </c>
      <c r="G588" s="95" t="s">
        <v>1267</v>
      </c>
      <c r="H588" s="93" t="s">
        <v>84</v>
      </c>
      <c r="I588" s="96">
        <f>IF(H588="ILF",IF($C$1="预估功能点",'模板使用说明&amp;基础参数'!$E$15,7),IF(H588="EIF",IF($C$1="预估功能点",'模板使用说明&amp;基础参数'!$E$16,5),IF(H588="EI",IF($C$1="预估功能点",'模板使用说明&amp;基础参数'!$E$17,'模板使用说明&amp;基础参数'!$E$24),IF(H588="EO",IF($C$1="预估功能点",'模板使用说明&amp;基础参数'!$E$18,'模板使用说明&amp;基础参数'!$E$25),IF(H588="EQ",IF($C$1="预估功能点",'模板使用说明&amp;基础参数'!$E$19,'模板使用说明&amp;基础参数'!$E$26),"")))))</f>
        <v>4</v>
      </c>
      <c r="J588" s="97" t="s">
        <v>38</v>
      </c>
      <c r="K588" s="97" t="s">
        <v>78</v>
      </c>
      <c r="L588" s="98">
        <f>IF(I588="","",IF(J588="高",IF(K588="删除",I588*'模板使用说明&amp;基础参数'!$E$5*'模板使用说明&amp;基础参数'!$E$12,IF(K588="修改",I588*'模板使用说明&amp;基础参数'!$E$5*'模板使用说明&amp;基础参数'!$E$11,I588*'模板使用说明&amp;基础参数'!$E$5*'模板使用说明&amp;基础参数'!$E$10)),IF(J588="中",IF(K588="删除",I588*'模板使用说明&amp;基础参数'!$E$6*'模板使用说明&amp;基础参数'!$E$12,IF(K588="修改",I588*'模板使用说明&amp;基础参数'!$E$6*'模板使用说明&amp;基础参数'!$E$11,I588*'模板使用说明&amp;基础参数'!$E$6*'模板使用说明&amp;基础参数'!$E$10)),IF(K588="删除",I588*'模板使用说明&amp;基础参数'!$E$7*'模板使用说明&amp;基础参数'!$E$12,IF(K588="修改",I588*'模板使用说明&amp;基础参数'!$E$7*'模板使用说明&amp;基础参数'!$E$11,I588*'模板使用说明&amp;基础参数'!$E$7*'模板使用说明&amp;基础参数'!$E$10)))))</f>
        <v>1.06666666666667</v>
      </c>
      <c r="M588" s="95"/>
      <c r="N588" s="99"/>
      <c r="O588" s="100"/>
    </row>
    <row r="589" s="70" customFormat="1" ht="25" customHeight="1" spans="1:15">
      <c r="A589" s="93">
        <v>584</v>
      </c>
      <c r="B589" s="94" t="s">
        <v>72</v>
      </c>
      <c r="C589" s="95" t="s">
        <v>276</v>
      </c>
      <c r="D589" s="95" t="s">
        <v>277</v>
      </c>
      <c r="E589" s="95" t="s">
        <v>277</v>
      </c>
      <c r="F589" s="95" t="s">
        <v>1268</v>
      </c>
      <c r="G589" s="95" t="s">
        <v>1269</v>
      </c>
      <c r="H589" s="93" t="s">
        <v>84</v>
      </c>
      <c r="I589" s="96">
        <f>IF(H589="ILF",IF($C$1="预估功能点",'模板使用说明&amp;基础参数'!$E$15,7),IF(H589="EIF",IF($C$1="预估功能点",'模板使用说明&amp;基础参数'!$E$16,5),IF(H589="EI",IF($C$1="预估功能点",'模板使用说明&amp;基础参数'!$E$17,'模板使用说明&amp;基础参数'!$E$24),IF(H589="EO",IF($C$1="预估功能点",'模板使用说明&amp;基础参数'!$E$18,'模板使用说明&amp;基础参数'!$E$25),IF(H589="EQ",IF($C$1="预估功能点",'模板使用说明&amp;基础参数'!$E$19,'模板使用说明&amp;基础参数'!$E$26),"")))))</f>
        <v>4</v>
      </c>
      <c r="J589" s="97" t="s">
        <v>38</v>
      </c>
      <c r="K589" s="97" t="s">
        <v>78</v>
      </c>
      <c r="L589" s="98">
        <f>IF(I589="","",IF(J589="高",IF(K589="删除",I589*'模板使用说明&amp;基础参数'!$E$5*'模板使用说明&amp;基础参数'!$E$12,IF(K589="修改",I589*'模板使用说明&amp;基础参数'!$E$5*'模板使用说明&amp;基础参数'!$E$11,I589*'模板使用说明&amp;基础参数'!$E$5*'模板使用说明&amp;基础参数'!$E$10)),IF(J589="中",IF(K589="删除",I589*'模板使用说明&amp;基础参数'!$E$6*'模板使用说明&amp;基础参数'!$E$12,IF(K589="修改",I589*'模板使用说明&amp;基础参数'!$E$6*'模板使用说明&amp;基础参数'!$E$11,I589*'模板使用说明&amp;基础参数'!$E$6*'模板使用说明&amp;基础参数'!$E$10)),IF(K589="删除",I589*'模板使用说明&amp;基础参数'!$E$7*'模板使用说明&amp;基础参数'!$E$12,IF(K589="修改",I589*'模板使用说明&amp;基础参数'!$E$7*'模板使用说明&amp;基础参数'!$E$11,I589*'模板使用说明&amp;基础参数'!$E$7*'模板使用说明&amp;基础参数'!$E$10)))))</f>
        <v>1.06666666666667</v>
      </c>
      <c r="M589" s="95"/>
      <c r="N589" s="99"/>
      <c r="O589" s="100"/>
    </row>
    <row r="590" s="70" customFormat="1" ht="25" customHeight="1" spans="1:15">
      <c r="A590" s="93">
        <v>585</v>
      </c>
      <c r="B590" s="94" t="s">
        <v>72</v>
      </c>
      <c r="C590" s="95" t="s">
        <v>276</v>
      </c>
      <c r="D590" s="95" t="s">
        <v>277</v>
      </c>
      <c r="E590" s="95" t="s">
        <v>277</v>
      </c>
      <c r="F590" s="95" t="s">
        <v>1270</v>
      </c>
      <c r="G590" s="95" t="s">
        <v>1271</v>
      </c>
      <c r="H590" s="93" t="s">
        <v>84</v>
      </c>
      <c r="I590" s="96">
        <f>IF(H590="ILF",IF($C$1="预估功能点",'模板使用说明&amp;基础参数'!$E$15,7),IF(H590="EIF",IF($C$1="预估功能点",'模板使用说明&amp;基础参数'!$E$16,5),IF(H590="EI",IF($C$1="预估功能点",'模板使用说明&amp;基础参数'!$E$17,'模板使用说明&amp;基础参数'!$E$24),IF(H590="EO",IF($C$1="预估功能点",'模板使用说明&amp;基础参数'!$E$18,'模板使用说明&amp;基础参数'!$E$25),IF(H590="EQ",IF($C$1="预估功能点",'模板使用说明&amp;基础参数'!$E$19,'模板使用说明&amp;基础参数'!$E$26),"")))))</f>
        <v>4</v>
      </c>
      <c r="J590" s="97" t="s">
        <v>38</v>
      </c>
      <c r="K590" s="97" t="s">
        <v>78</v>
      </c>
      <c r="L590" s="98">
        <f>IF(I590="","",IF(J590="高",IF(K590="删除",I590*'模板使用说明&amp;基础参数'!$E$5*'模板使用说明&amp;基础参数'!$E$12,IF(K590="修改",I590*'模板使用说明&amp;基础参数'!$E$5*'模板使用说明&amp;基础参数'!$E$11,I590*'模板使用说明&amp;基础参数'!$E$5*'模板使用说明&amp;基础参数'!$E$10)),IF(J590="中",IF(K590="删除",I590*'模板使用说明&amp;基础参数'!$E$6*'模板使用说明&amp;基础参数'!$E$12,IF(K590="修改",I590*'模板使用说明&amp;基础参数'!$E$6*'模板使用说明&amp;基础参数'!$E$11,I590*'模板使用说明&amp;基础参数'!$E$6*'模板使用说明&amp;基础参数'!$E$10)),IF(K590="删除",I590*'模板使用说明&amp;基础参数'!$E$7*'模板使用说明&amp;基础参数'!$E$12,IF(K590="修改",I590*'模板使用说明&amp;基础参数'!$E$7*'模板使用说明&amp;基础参数'!$E$11,I590*'模板使用说明&amp;基础参数'!$E$7*'模板使用说明&amp;基础参数'!$E$10)))))</f>
        <v>1.06666666666667</v>
      </c>
      <c r="M590" s="95"/>
      <c r="N590" s="99"/>
      <c r="O590" s="100"/>
    </row>
    <row r="591" s="70" customFormat="1" ht="25" customHeight="1" spans="1:15">
      <c r="A591" s="93">
        <v>586</v>
      </c>
      <c r="B591" s="94" t="s">
        <v>72</v>
      </c>
      <c r="C591" s="95" t="s">
        <v>276</v>
      </c>
      <c r="D591" s="95" t="s">
        <v>277</v>
      </c>
      <c r="E591" s="95" t="s">
        <v>277</v>
      </c>
      <c r="F591" s="95" t="s">
        <v>1272</v>
      </c>
      <c r="G591" s="95" t="s">
        <v>1273</v>
      </c>
      <c r="H591" s="93" t="s">
        <v>77</v>
      </c>
      <c r="I591" s="96">
        <f>IF(H591="ILF",IF($C$1="预估功能点",'模板使用说明&amp;基础参数'!$E$15,7),IF(H591="EIF",IF($C$1="预估功能点",'模板使用说明&amp;基础参数'!$E$16,5),IF(H591="EI",IF($C$1="预估功能点",'模板使用说明&amp;基础参数'!$E$17,'模板使用说明&amp;基础参数'!$E$24),IF(H591="EO",IF($C$1="预估功能点",'模板使用说明&amp;基础参数'!$E$18,'模板使用说明&amp;基础参数'!$E$25),IF(H591="EQ",IF($C$1="预估功能点",'模板使用说明&amp;基础参数'!$E$19,'模板使用说明&amp;基础参数'!$E$26),"")))))</f>
        <v>7</v>
      </c>
      <c r="J591" s="97" t="s">
        <v>38</v>
      </c>
      <c r="K591" s="97" t="s">
        <v>78</v>
      </c>
      <c r="L591" s="98">
        <f>IF(I591="","",IF(J591="高",IF(K591="删除",I591*'模板使用说明&amp;基础参数'!$E$5*'模板使用说明&amp;基础参数'!$E$12,IF(K591="修改",I591*'模板使用说明&amp;基础参数'!$E$5*'模板使用说明&amp;基础参数'!$E$11,I591*'模板使用说明&amp;基础参数'!$E$5*'模板使用说明&amp;基础参数'!$E$10)),IF(J591="中",IF(K591="删除",I591*'模板使用说明&amp;基础参数'!$E$6*'模板使用说明&amp;基础参数'!$E$12,IF(K591="修改",I591*'模板使用说明&amp;基础参数'!$E$6*'模板使用说明&amp;基础参数'!$E$11,I591*'模板使用说明&amp;基础参数'!$E$6*'模板使用说明&amp;基础参数'!$E$10)),IF(K591="删除",I591*'模板使用说明&amp;基础参数'!$E$7*'模板使用说明&amp;基础参数'!$E$12,IF(K591="修改",I591*'模板使用说明&amp;基础参数'!$E$7*'模板使用说明&amp;基础参数'!$E$11,I591*'模板使用说明&amp;基础参数'!$E$7*'模板使用说明&amp;基础参数'!$E$10)))))</f>
        <v>1.86666666666666</v>
      </c>
      <c r="M591" s="95"/>
      <c r="N591" s="99"/>
      <c r="O591" s="100"/>
    </row>
    <row r="592" s="70" customFormat="1" ht="25" customHeight="1" spans="1:15">
      <c r="A592" s="93">
        <v>587</v>
      </c>
      <c r="B592" s="94" t="s">
        <v>72</v>
      </c>
      <c r="C592" s="95" t="s">
        <v>276</v>
      </c>
      <c r="D592" s="95" t="s">
        <v>277</v>
      </c>
      <c r="E592" s="95" t="s">
        <v>277</v>
      </c>
      <c r="F592" s="95" t="s">
        <v>1274</v>
      </c>
      <c r="G592" s="95" t="s">
        <v>1275</v>
      </c>
      <c r="H592" s="93" t="s">
        <v>81</v>
      </c>
      <c r="I592" s="96">
        <f>IF(H592="ILF",IF($C$1="预估功能点",'模板使用说明&amp;基础参数'!$E$15,7),IF(H592="EIF",IF($C$1="预估功能点",'模板使用说明&amp;基础参数'!$E$16,5),IF(H592="EI",IF($C$1="预估功能点",'模板使用说明&amp;基础参数'!$E$17,'模板使用说明&amp;基础参数'!$E$24),IF(H592="EO",IF($C$1="预估功能点",'模板使用说明&amp;基础参数'!$E$18,'模板使用说明&amp;基础参数'!$E$25),IF(H592="EQ",IF($C$1="预估功能点",'模板使用说明&amp;基础参数'!$E$19,'模板使用说明&amp;基础参数'!$E$26),"")))))</f>
        <v>4</v>
      </c>
      <c r="J592" s="97" t="s">
        <v>38</v>
      </c>
      <c r="K592" s="97" t="s">
        <v>78</v>
      </c>
      <c r="L592" s="98">
        <f>IF(I592="","",IF(J592="高",IF(K592="删除",I592*'模板使用说明&amp;基础参数'!$E$5*'模板使用说明&amp;基础参数'!$E$12,IF(K592="修改",I592*'模板使用说明&amp;基础参数'!$E$5*'模板使用说明&amp;基础参数'!$E$11,I592*'模板使用说明&amp;基础参数'!$E$5*'模板使用说明&amp;基础参数'!$E$10)),IF(J592="中",IF(K592="删除",I592*'模板使用说明&amp;基础参数'!$E$6*'模板使用说明&amp;基础参数'!$E$12,IF(K592="修改",I592*'模板使用说明&amp;基础参数'!$E$6*'模板使用说明&amp;基础参数'!$E$11,I592*'模板使用说明&amp;基础参数'!$E$6*'模板使用说明&amp;基础参数'!$E$10)),IF(K592="删除",I592*'模板使用说明&amp;基础参数'!$E$7*'模板使用说明&amp;基础参数'!$E$12,IF(K592="修改",I592*'模板使用说明&amp;基础参数'!$E$7*'模板使用说明&amp;基础参数'!$E$11,I592*'模板使用说明&amp;基础参数'!$E$7*'模板使用说明&amp;基础参数'!$E$10)))))</f>
        <v>1.06666666666667</v>
      </c>
      <c r="M592" s="95"/>
      <c r="N592" s="99"/>
      <c r="O592" s="100"/>
    </row>
    <row r="593" s="70" customFormat="1" ht="25" customHeight="1" spans="1:15">
      <c r="A593" s="93">
        <v>588</v>
      </c>
      <c r="B593" s="94" t="s">
        <v>72</v>
      </c>
      <c r="C593" s="95" t="s">
        <v>276</v>
      </c>
      <c r="D593" s="95" t="s">
        <v>277</v>
      </c>
      <c r="E593" s="95" t="s">
        <v>277</v>
      </c>
      <c r="F593" s="95" t="s">
        <v>1276</v>
      </c>
      <c r="G593" s="95" t="s">
        <v>1277</v>
      </c>
      <c r="H593" s="93" t="s">
        <v>84</v>
      </c>
      <c r="I593" s="96">
        <f>IF(H593="ILF",IF($C$1="预估功能点",'模板使用说明&amp;基础参数'!$E$15,7),IF(H593="EIF",IF($C$1="预估功能点",'模板使用说明&amp;基础参数'!$E$16,5),IF(H593="EI",IF($C$1="预估功能点",'模板使用说明&amp;基础参数'!$E$17,'模板使用说明&amp;基础参数'!$E$24),IF(H593="EO",IF($C$1="预估功能点",'模板使用说明&amp;基础参数'!$E$18,'模板使用说明&amp;基础参数'!$E$25),IF(H593="EQ",IF($C$1="预估功能点",'模板使用说明&amp;基础参数'!$E$19,'模板使用说明&amp;基础参数'!$E$26),"")))))</f>
        <v>4</v>
      </c>
      <c r="J593" s="97" t="s">
        <v>38</v>
      </c>
      <c r="K593" s="97" t="s">
        <v>78</v>
      </c>
      <c r="L593" s="98">
        <f>IF(I593="","",IF(J593="高",IF(K593="删除",I593*'模板使用说明&amp;基础参数'!$E$5*'模板使用说明&amp;基础参数'!$E$12,IF(K593="修改",I593*'模板使用说明&amp;基础参数'!$E$5*'模板使用说明&amp;基础参数'!$E$11,I593*'模板使用说明&amp;基础参数'!$E$5*'模板使用说明&amp;基础参数'!$E$10)),IF(J593="中",IF(K593="删除",I593*'模板使用说明&amp;基础参数'!$E$6*'模板使用说明&amp;基础参数'!$E$12,IF(K593="修改",I593*'模板使用说明&amp;基础参数'!$E$6*'模板使用说明&amp;基础参数'!$E$11,I593*'模板使用说明&amp;基础参数'!$E$6*'模板使用说明&amp;基础参数'!$E$10)),IF(K593="删除",I593*'模板使用说明&amp;基础参数'!$E$7*'模板使用说明&amp;基础参数'!$E$12,IF(K593="修改",I593*'模板使用说明&amp;基础参数'!$E$7*'模板使用说明&amp;基础参数'!$E$11,I593*'模板使用说明&amp;基础参数'!$E$7*'模板使用说明&amp;基础参数'!$E$10)))))</f>
        <v>1.06666666666667</v>
      </c>
      <c r="M593" s="95"/>
      <c r="N593" s="99"/>
      <c r="O593" s="100"/>
    </row>
    <row r="594" s="70" customFormat="1" ht="25" customHeight="1" spans="1:15">
      <c r="A594" s="93">
        <v>589</v>
      </c>
      <c r="B594" s="94" t="s">
        <v>72</v>
      </c>
      <c r="C594" s="95" t="s">
        <v>276</v>
      </c>
      <c r="D594" s="95" t="s">
        <v>277</v>
      </c>
      <c r="E594" s="95" t="s">
        <v>277</v>
      </c>
      <c r="F594" s="95" t="s">
        <v>1278</v>
      </c>
      <c r="G594" s="95" t="s">
        <v>1279</v>
      </c>
      <c r="H594" s="93" t="s">
        <v>84</v>
      </c>
      <c r="I594" s="96">
        <f>IF(H594="ILF",IF($C$1="预估功能点",'模板使用说明&amp;基础参数'!$E$15,7),IF(H594="EIF",IF($C$1="预估功能点",'模板使用说明&amp;基础参数'!$E$16,5),IF(H594="EI",IF($C$1="预估功能点",'模板使用说明&amp;基础参数'!$E$17,'模板使用说明&amp;基础参数'!$E$24),IF(H594="EO",IF($C$1="预估功能点",'模板使用说明&amp;基础参数'!$E$18,'模板使用说明&amp;基础参数'!$E$25),IF(H594="EQ",IF($C$1="预估功能点",'模板使用说明&amp;基础参数'!$E$19,'模板使用说明&amp;基础参数'!$E$26),"")))))</f>
        <v>4</v>
      </c>
      <c r="J594" s="97" t="s">
        <v>38</v>
      </c>
      <c r="K594" s="97" t="s">
        <v>78</v>
      </c>
      <c r="L594" s="98">
        <f>IF(I594="","",IF(J594="高",IF(K594="删除",I594*'模板使用说明&amp;基础参数'!$E$5*'模板使用说明&amp;基础参数'!$E$12,IF(K594="修改",I594*'模板使用说明&amp;基础参数'!$E$5*'模板使用说明&amp;基础参数'!$E$11,I594*'模板使用说明&amp;基础参数'!$E$5*'模板使用说明&amp;基础参数'!$E$10)),IF(J594="中",IF(K594="删除",I594*'模板使用说明&amp;基础参数'!$E$6*'模板使用说明&amp;基础参数'!$E$12,IF(K594="修改",I594*'模板使用说明&amp;基础参数'!$E$6*'模板使用说明&amp;基础参数'!$E$11,I594*'模板使用说明&amp;基础参数'!$E$6*'模板使用说明&amp;基础参数'!$E$10)),IF(K594="删除",I594*'模板使用说明&amp;基础参数'!$E$7*'模板使用说明&amp;基础参数'!$E$12,IF(K594="修改",I594*'模板使用说明&amp;基础参数'!$E$7*'模板使用说明&amp;基础参数'!$E$11,I594*'模板使用说明&amp;基础参数'!$E$7*'模板使用说明&amp;基础参数'!$E$10)))))</f>
        <v>1.06666666666667</v>
      </c>
      <c r="M594" s="95"/>
      <c r="N594" s="99"/>
      <c r="O594" s="100"/>
    </row>
    <row r="595" s="70" customFormat="1" ht="25" customHeight="1" spans="1:15">
      <c r="A595" s="93">
        <v>590</v>
      </c>
      <c r="B595" s="94" t="s">
        <v>72</v>
      </c>
      <c r="C595" s="95" t="s">
        <v>276</v>
      </c>
      <c r="D595" s="95" t="s">
        <v>277</v>
      </c>
      <c r="E595" s="95" t="s">
        <v>277</v>
      </c>
      <c r="F595" s="95" t="s">
        <v>1280</v>
      </c>
      <c r="G595" s="95" t="s">
        <v>1281</v>
      </c>
      <c r="H595" s="93" t="s">
        <v>84</v>
      </c>
      <c r="I595" s="96">
        <f>IF(H595="ILF",IF($C$1="预估功能点",'模板使用说明&amp;基础参数'!$E$15,7),IF(H595="EIF",IF($C$1="预估功能点",'模板使用说明&amp;基础参数'!$E$16,5),IF(H595="EI",IF($C$1="预估功能点",'模板使用说明&amp;基础参数'!$E$17,'模板使用说明&amp;基础参数'!$E$24),IF(H595="EO",IF($C$1="预估功能点",'模板使用说明&amp;基础参数'!$E$18,'模板使用说明&amp;基础参数'!$E$25),IF(H595="EQ",IF($C$1="预估功能点",'模板使用说明&amp;基础参数'!$E$19,'模板使用说明&amp;基础参数'!$E$26),"")))))</f>
        <v>4</v>
      </c>
      <c r="J595" s="97" t="s">
        <v>38</v>
      </c>
      <c r="K595" s="97" t="s">
        <v>78</v>
      </c>
      <c r="L595" s="98">
        <f>IF(I595="","",IF(J595="高",IF(K595="删除",I595*'模板使用说明&amp;基础参数'!$E$5*'模板使用说明&amp;基础参数'!$E$12,IF(K595="修改",I595*'模板使用说明&amp;基础参数'!$E$5*'模板使用说明&amp;基础参数'!$E$11,I595*'模板使用说明&amp;基础参数'!$E$5*'模板使用说明&amp;基础参数'!$E$10)),IF(J595="中",IF(K595="删除",I595*'模板使用说明&amp;基础参数'!$E$6*'模板使用说明&amp;基础参数'!$E$12,IF(K595="修改",I595*'模板使用说明&amp;基础参数'!$E$6*'模板使用说明&amp;基础参数'!$E$11,I595*'模板使用说明&amp;基础参数'!$E$6*'模板使用说明&amp;基础参数'!$E$10)),IF(K595="删除",I595*'模板使用说明&amp;基础参数'!$E$7*'模板使用说明&amp;基础参数'!$E$12,IF(K595="修改",I595*'模板使用说明&amp;基础参数'!$E$7*'模板使用说明&amp;基础参数'!$E$11,I595*'模板使用说明&amp;基础参数'!$E$7*'模板使用说明&amp;基础参数'!$E$10)))))</f>
        <v>1.06666666666667</v>
      </c>
      <c r="M595" s="95"/>
      <c r="N595" s="99"/>
      <c r="O595" s="100"/>
    </row>
    <row r="596" s="70" customFormat="1" ht="25" customHeight="1" spans="1:15">
      <c r="A596" s="93">
        <v>591</v>
      </c>
      <c r="B596" s="94" t="s">
        <v>72</v>
      </c>
      <c r="C596" s="95" t="s">
        <v>276</v>
      </c>
      <c r="D596" s="95" t="s">
        <v>277</v>
      </c>
      <c r="E596" s="95" t="s">
        <v>277</v>
      </c>
      <c r="F596" s="95" t="s">
        <v>1282</v>
      </c>
      <c r="G596" s="95" t="s">
        <v>1283</v>
      </c>
      <c r="H596" s="93" t="s">
        <v>77</v>
      </c>
      <c r="I596" s="96">
        <f>IF(H596="ILF",IF($C$1="预估功能点",'模板使用说明&amp;基础参数'!$E$15,7),IF(H596="EIF",IF($C$1="预估功能点",'模板使用说明&amp;基础参数'!$E$16,5),IF(H596="EI",IF($C$1="预估功能点",'模板使用说明&amp;基础参数'!$E$17,'模板使用说明&amp;基础参数'!$E$24),IF(H596="EO",IF($C$1="预估功能点",'模板使用说明&amp;基础参数'!$E$18,'模板使用说明&amp;基础参数'!$E$25),IF(H596="EQ",IF($C$1="预估功能点",'模板使用说明&amp;基础参数'!$E$19,'模板使用说明&amp;基础参数'!$E$26),"")))))</f>
        <v>7</v>
      </c>
      <c r="J596" s="97" t="s">
        <v>38</v>
      </c>
      <c r="K596" s="97" t="s">
        <v>78</v>
      </c>
      <c r="L596" s="98">
        <f>IF(I596="","",IF(J596="高",IF(K596="删除",I596*'模板使用说明&amp;基础参数'!$E$5*'模板使用说明&amp;基础参数'!$E$12,IF(K596="修改",I596*'模板使用说明&amp;基础参数'!$E$5*'模板使用说明&amp;基础参数'!$E$11,I596*'模板使用说明&amp;基础参数'!$E$5*'模板使用说明&amp;基础参数'!$E$10)),IF(J596="中",IF(K596="删除",I596*'模板使用说明&amp;基础参数'!$E$6*'模板使用说明&amp;基础参数'!$E$12,IF(K596="修改",I596*'模板使用说明&amp;基础参数'!$E$6*'模板使用说明&amp;基础参数'!$E$11,I596*'模板使用说明&amp;基础参数'!$E$6*'模板使用说明&amp;基础参数'!$E$10)),IF(K596="删除",I596*'模板使用说明&amp;基础参数'!$E$7*'模板使用说明&amp;基础参数'!$E$12,IF(K596="修改",I596*'模板使用说明&amp;基础参数'!$E$7*'模板使用说明&amp;基础参数'!$E$11,I596*'模板使用说明&amp;基础参数'!$E$7*'模板使用说明&amp;基础参数'!$E$10)))))</f>
        <v>1.86666666666666</v>
      </c>
      <c r="M596" s="95"/>
      <c r="N596" s="99"/>
      <c r="O596" s="100"/>
    </row>
    <row r="597" s="70" customFormat="1" ht="25" customHeight="1" spans="1:15">
      <c r="A597" s="93">
        <v>592</v>
      </c>
      <c r="B597" s="94" t="s">
        <v>72</v>
      </c>
      <c r="C597" s="95" t="s">
        <v>276</v>
      </c>
      <c r="D597" s="95" t="s">
        <v>277</v>
      </c>
      <c r="E597" s="95" t="s">
        <v>277</v>
      </c>
      <c r="F597" s="95" t="s">
        <v>1284</v>
      </c>
      <c r="G597" s="95" t="s">
        <v>1285</v>
      </c>
      <c r="H597" s="93" t="s">
        <v>81</v>
      </c>
      <c r="I597" s="96">
        <f>IF(H597="ILF",IF($C$1="预估功能点",'模板使用说明&amp;基础参数'!$E$15,7),IF(H597="EIF",IF($C$1="预估功能点",'模板使用说明&amp;基础参数'!$E$16,5),IF(H597="EI",IF($C$1="预估功能点",'模板使用说明&amp;基础参数'!$E$17,'模板使用说明&amp;基础参数'!$E$24),IF(H597="EO",IF($C$1="预估功能点",'模板使用说明&amp;基础参数'!$E$18,'模板使用说明&amp;基础参数'!$E$25),IF(H597="EQ",IF($C$1="预估功能点",'模板使用说明&amp;基础参数'!$E$19,'模板使用说明&amp;基础参数'!$E$26),"")))))</f>
        <v>4</v>
      </c>
      <c r="J597" s="97" t="s">
        <v>38</v>
      </c>
      <c r="K597" s="97" t="s">
        <v>78</v>
      </c>
      <c r="L597" s="98">
        <f>IF(I597="","",IF(J597="高",IF(K597="删除",I597*'模板使用说明&amp;基础参数'!$E$5*'模板使用说明&amp;基础参数'!$E$12,IF(K597="修改",I597*'模板使用说明&amp;基础参数'!$E$5*'模板使用说明&amp;基础参数'!$E$11,I597*'模板使用说明&amp;基础参数'!$E$5*'模板使用说明&amp;基础参数'!$E$10)),IF(J597="中",IF(K597="删除",I597*'模板使用说明&amp;基础参数'!$E$6*'模板使用说明&amp;基础参数'!$E$12,IF(K597="修改",I597*'模板使用说明&amp;基础参数'!$E$6*'模板使用说明&amp;基础参数'!$E$11,I597*'模板使用说明&amp;基础参数'!$E$6*'模板使用说明&amp;基础参数'!$E$10)),IF(K597="删除",I597*'模板使用说明&amp;基础参数'!$E$7*'模板使用说明&amp;基础参数'!$E$12,IF(K597="修改",I597*'模板使用说明&amp;基础参数'!$E$7*'模板使用说明&amp;基础参数'!$E$11,I597*'模板使用说明&amp;基础参数'!$E$7*'模板使用说明&amp;基础参数'!$E$10)))))</f>
        <v>1.06666666666667</v>
      </c>
      <c r="M597" s="95"/>
      <c r="N597" s="99"/>
      <c r="O597" s="100"/>
    </row>
    <row r="598" s="70" customFormat="1" ht="25" customHeight="1" spans="1:15">
      <c r="A598" s="93">
        <v>593</v>
      </c>
      <c r="B598" s="94" t="s">
        <v>72</v>
      </c>
      <c r="C598" s="95" t="s">
        <v>276</v>
      </c>
      <c r="D598" s="95" t="s">
        <v>277</v>
      </c>
      <c r="E598" s="95" t="s">
        <v>277</v>
      </c>
      <c r="F598" s="95" t="s">
        <v>1286</v>
      </c>
      <c r="G598" s="95" t="s">
        <v>1287</v>
      </c>
      <c r="H598" s="93" t="s">
        <v>84</v>
      </c>
      <c r="I598" s="96">
        <f>IF(H598="ILF",IF($C$1="预估功能点",'模板使用说明&amp;基础参数'!$E$15,7),IF(H598="EIF",IF($C$1="预估功能点",'模板使用说明&amp;基础参数'!$E$16,5),IF(H598="EI",IF($C$1="预估功能点",'模板使用说明&amp;基础参数'!$E$17,'模板使用说明&amp;基础参数'!$E$24),IF(H598="EO",IF($C$1="预估功能点",'模板使用说明&amp;基础参数'!$E$18,'模板使用说明&amp;基础参数'!$E$25),IF(H598="EQ",IF($C$1="预估功能点",'模板使用说明&amp;基础参数'!$E$19,'模板使用说明&amp;基础参数'!$E$26),"")))))</f>
        <v>4</v>
      </c>
      <c r="J598" s="97" t="s">
        <v>38</v>
      </c>
      <c r="K598" s="97" t="s">
        <v>78</v>
      </c>
      <c r="L598" s="98">
        <f>IF(I598="","",IF(J598="高",IF(K598="删除",I598*'模板使用说明&amp;基础参数'!$E$5*'模板使用说明&amp;基础参数'!$E$12,IF(K598="修改",I598*'模板使用说明&amp;基础参数'!$E$5*'模板使用说明&amp;基础参数'!$E$11,I598*'模板使用说明&amp;基础参数'!$E$5*'模板使用说明&amp;基础参数'!$E$10)),IF(J598="中",IF(K598="删除",I598*'模板使用说明&amp;基础参数'!$E$6*'模板使用说明&amp;基础参数'!$E$12,IF(K598="修改",I598*'模板使用说明&amp;基础参数'!$E$6*'模板使用说明&amp;基础参数'!$E$11,I598*'模板使用说明&amp;基础参数'!$E$6*'模板使用说明&amp;基础参数'!$E$10)),IF(K598="删除",I598*'模板使用说明&amp;基础参数'!$E$7*'模板使用说明&amp;基础参数'!$E$12,IF(K598="修改",I598*'模板使用说明&amp;基础参数'!$E$7*'模板使用说明&amp;基础参数'!$E$11,I598*'模板使用说明&amp;基础参数'!$E$7*'模板使用说明&amp;基础参数'!$E$10)))))</f>
        <v>1.06666666666667</v>
      </c>
      <c r="M598" s="95"/>
      <c r="N598" s="99"/>
      <c r="O598" s="100"/>
    </row>
    <row r="599" s="70" customFormat="1" ht="25" customHeight="1" spans="1:15">
      <c r="A599" s="93">
        <v>594</v>
      </c>
      <c r="B599" s="94" t="s">
        <v>72</v>
      </c>
      <c r="C599" s="95" t="s">
        <v>276</v>
      </c>
      <c r="D599" s="95" t="s">
        <v>277</v>
      </c>
      <c r="E599" s="95" t="s">
        <v>277</v>
      </c>
      <c r="F599" s="95" t="s">
        <v>1288</v>
      </c>
      <c r="G599" s="95" t="s">
        <v>1289</v>
      </c>
      <c r="H599" s="93" t="s">
        <v>84</v>
      </c>
      <c r="I599" s="96">
        <f>IF(H599="ILF",IF($C$1="预估功能点",'模板使用说明&amp;基础参数'!$E$15,7),IF(H599="EIF",IF($C$1="预估功能点",'模板使用说明&amp;基础参数'!$E$16,5),IF(H599="EI",IF($C$1="预估功能点",'模板使用说明&amp;基础参数'!$E$17,'模板使用说明&amp;基础参数'!$E$24),IF(H599="EO",IF($C$1="预估功能点",'模板使用说明&amp;基础参数'!$E$18,'模板使用说明&amp;基础参数'!$E$25),IF(H599="EQ",IF($C$1="预估功能点",'模板使用说明&amp;基础参数'!$E$19,'模板使用说明&amp;基础参数'!$E$26),"")))))</f>
        <v>4</v>
      </c>
      <c r="J599" s="97" t="s">
        <v>38</v>
      </c>
      <c r="K599" s="97" t="s">
        <v>78</v>
      </c>
      <c r="L599" s="98">
        <f>IF(I599="","",IF(J599="高",IF(K599="删除",I599*'模板使用说明&amp;基础参数'!$E$5*'模板使用说明&amp;基础参数'!$E$12,IF(K599="修改",I599*'模板使用说明&amp;基础参数'!$E$5*'模板使用说明&amp;基础参数'!$E$11,I599*'模板使用说明&amp;基础参数'!$E$5*'模板使用说明&amp;基础参数'!$E$10)),IF(J599="中",IF(K599="删除",I599*'模板使用说明&amp;基础参数'!$E$6*'模板使用说明&amp;基础参数'!$E$12,IF(K599="修改",I599*'模板使用说明&amp;基础参数'!$E$6*'模板使用说明&amp;基础参数'!$E$11,I599*'模板使用说明&amp;基础参数'!$E$6*'模板使用说明&amp;基础参数'!$E$10)),IF(K599="删除",I599*'模板使用说明&amp;基础参数'!$E$7*'模板使用说明&amp;基础参数'!$E$12,IF(K599="修改",I599*'模板使用说明&amp;基础参数'!$E$7*'模板使用说明&amp;基础参数'!$E$11,I599*'模板使用说明&amp;基础参数'!$E$7*'模板使用说明&amp;基础参数'!$E$10)))))</f>
        <v>1.06666666666667</v>
      </c>
      <c r="M599" s="95"/>
      <c r="N599" s="99"/>
      <c r="O599" s="100"/>
    </row>
    <row r="600" s="70" customFormat="1" ht="25" customHeight="1" spans="1:15">
      <c r="A600" s="93">
        <v>595</v>
      </c>
      <c r="B600" s="94" t="s">
        <v>72</v>
      </c>
      <c r="C600" s="95" t="s">
        <v>276</v>
      </c>
      <c r="D600" s="95" t="s">
        <v>277</v>
      </c>
      <c r="E600" s="95" t="s">
        <v>277</v>
      </c>
      <c r="F600" s="95" t="s">
        <v>1290</v>
      </c>
      <c r="G600" s="95" t="s">
        <v>1291</v>
      </c>
      <c r="H600" s="93" t="s">
        <v>84</v>
      </c>
      <c r="I600" s="96">
        <f>IF(H600="ILF",IF($C$1="预估功能点",'模板使用说明&amp;基础参数'!$E$15,7),IF(H600="EIF",IF($C$1="预估功能点",'模板使用说明&amp;基础参数'!$E$16,5),IF(H600="EI",IF($C$1="预估功能点",'模板使用说明&amp;基础参数'!$E$17,'模板使用说明&amp;基础参数'!$E$24),IF(H600="EO",IF($C$1="预估功能点",'模板使用说明&amp;基础参数'!$E$18,'模板使用说明&amp;基础参数'!$E$25),IF(H600="EQ",IF($C$1="预估功能点",'模板使用说明&amp;基础参数'!$E$19,'模板使用说明&amp;基础参数'!$E$26),"")))))</f>
        <v>4</v>
      </c>
      <c r="J600" s="97" t="s">
        <v>38</v>
      </c>
      <c r="K600" s="97" t="s">
        <v>78</v>
      </c>
      <c r="L600" s="98">
        <f>IF(I600="","",IF(J600="高",IF(K600="删除",I600*'模板使用说明&amp;基础参数'!$E$5*'模板使用说明&amp;基础参数'!$E$12,IF(K600="修改",I600*'模板使用说明&amp;基础参数'!$E$5*'模板使用说明&amp;基础参数'!$E$11,I600*'模板使用说明&amp;基础参数'!$E$5*'模板使用说明&amp;基础参数'!$E$10)),IF(J600="中",IF(K600="删除",I600*'模板使用说明&amp;基础参数'!$E$6*'模板使用说明&amp;基础参数'!$E$12,IF(K600="修改",I600*'模板使用说明&amp;基础参数'!$E$6*'模板使用说明&amp;基础参数'!$E$11,I600*'模板使用说明&amp;基础参数'!$E$6*'模板使用说明&amp;基础参数'!$E$10)),IF(K600="删除",I600*'模板使用说明&amp;基础参数'!$E$7*'模板使用说明&amp;基础参数'!$E$12,IF(K600="修改",I600*'模板使用说明&amp;基础参数'!$E$7*'模板使用说明&amp;基础参数'!$E$11,I600*'模板使用说明&amp;基础参数'!$E$7*'模板使用说明&amp;基础参数'!$E$10)))))</f>
        <v>1.06666666666667</v>
      </c>
      <c r="M600" s="95"/>
      <c r="N600" s="99"/>
      <c r="O600" s="100"/>
    </row>
    <row r="601" s="70" customFormat="1" ht="25" customHeight="1" spans="1:15">
      <c r="A601" s="93">
        <v>596</v>
      </c>
      <c r="B601" s="94" t="s">
        <v>72</v>
      </c>
      <c r="C601" s="95" t="s">
        <v>276</v>
      </c>
      <c r="D601" s="95" t="s">
        <v>277</v>
      </c>
      <c r="E601" s="95" t="s">
        <v>277</v>
      </c>
      <c r="F601" s="95" t="s">
        <v>1292</v>
      </c>
      <c r="G601" s="95" t="s">
        <v>1293</v>
      </c>
      <c r="H601" s="93" t="s">
        <v>77</v>
      </c>
      <c r="I601" s="96">
        <f>IF(H601="ILF",IF($C$1="预估功能点",'模板使用说明&amp;基础参数'!$E$15,7),IF(H601="EIF",IF($C$1="预估功能点",'模板使用说明&amp;基础参数'!$E$16,5),IF(H601="EI",IF($C$1="预估功能点",'模板使用说明&amp;基础参数'!$E$17,'模板使用说明&amp;基础参数'!$E$24),IF(H601="EO",IF($C$1="预估功能点",'模板使用说明&amp;基础参数'!$E$18,'模板使用说明&amp;基础参数'!$E$25),IF(H601="EQ",IF($C$1="预估功能点",'模板使用说明&amp;基础参数'!$E$19,'模板使用说明&amp;基础参数'!$E$26),"")))))</f>
        <v>7</v>
      </c>
      <c r="J601" s="97" t="s">
        <v>38</v>
      </c>
      <c r="K601" s="97" t="s">
        <v>78</v>
      </c>
      <c r="L601" s="98">
        <f>IF(I601="","",IF(J601="高",IF(K601="删除",I601*'模板使用说明&amp;基础参数'!$E$5*'模板使用说明&amp;基础参数'!$E$12,IF(K601="修改",I601*'模板使用说明&amp;基础参数'!$E$5*'模板使用说明&amp;基础参数'!$E$11,I601*'模板使用说明&amp;基础参数'!$E$5*'模板使用说明&amp;基础参数'!$E$10)),IF(J601="中",IF(K601="删除",I601*'模板使用说明&amp;基础参数'!$E$6*'模板使用说明&amp;基础参数'!$E$12,IF(K601="修改",I601*'模板使用说明&amp;基础参数'!$E$6*'模板使用说明&amp;基础参数'!$E$11,I601*'模板使用说明&amp;基础参数'!$E$6*'模板使用说明&amp;基础参数'!$E$10)),IF(K601="删除",I601*'模板使用说明&amp;基础参数'!$E$7*'模板使用说明&amp;基础参数'!$E$12,IF(K601="修改",I601*'模板使用说明&amp;基础参数'!$E$7*'模板使用说明&amp;基础参数'!$E$11,I601*'模板使用说明&amp;基础参数'!$E$7*'模板使用说明&amp;基础参数'!$E$10)))))</f>
        <v>1.86666666666666</v>
      </c>
      <c r="M601" s="95"/>
      <c r="N601" s="99"/>
      <c r="O601" s="100"/>
    </row>
    <row r="602" s="70" customFormat="1" ht="25" customHeight="1" spans="1:15">
      <c r="A602" s="93">
        <v>597</v>
      </c>
      <c r="B602" s="94" t="s">
        <v>72</v>
      </c>
      <c r="C602" s="95" t="s">
        <v>276</v>
      </c>
      <c r="D602" s="95" t="s">
        <v>277</v>
      </c>
      <c r="E602" s="95" t="s">
        <v>277</v>
      </c>
      <c r="F602" s="95" t="s">
        <v>1294</v>
      </c>
      <c r="G602" s="95" t="s">
        <v>1295</v>
      </c>
      <c r="H602" s="93" t="s">
        <v>81</v>
      </c>
      <c r="I602" s="96">
        <f>IF(H602="ILF",IF($C$1="预估功能点",'模板使用说明&amp;基础参数'!$E$15,7),IF(H602="EIF",IF($C$1="预估功能点",'模板使用说明&amp;基础参数'!$E$16,5),IF(H602="EI",IF($C$1="预估功能点",'模板使用说明&amp;基础参数'!$E$17,'模板使用说明&amp;基础参数'!$E$24),IF(H602="EO",IF($C$1="预估功能点",'模板使用说明&amp;基础参数'!$E$18,'模板使用说明&amp;基础参数'!$E$25),IF(H602="EQ",IF($C$1="预估功能点",'模板使用说明&amp;基础参数'!$E$19,'模板使用说明&amp;基础参数'!$E$26),"")))))</f>
        <v>4</v>
      </c>
      <c r="J602" s="97" t="s">
        <v>38</v>
      </c>
      <c r="K602" s="97" t="s">
        <v>78</v>
      </c>
      <c r="L602" s="98">
        <f>IF(I602="","",IF(J602="高",IF(K602="删除",I602*'模板使用说明&amp;基础参数'!$E$5*'模板使用说明&amp;基础参数'!$E$12,IF(K602="修改",I602*'模板使用说明&amp;基础参数'!$E$5*'模板使用说明&amp;基础参数'!$E$11,I602*'模板使用说明&amp;基础参数'!$E$5*'模板使用说明&amp;基础参数'!$E$10)),IF(J602="中",IF(K602="删除",I602*'模板使用说明&amp;基础参数'!$E$6*'模板使用说明&amp;基础参数'!$E$12,IF(K602="修改",I602*'模板使用说明&amp;基础参数'!$E$6*'模板使用说明&amp;基础参数'!$E$11,I602*'模板使用说明&amp;基础参数'!$E$6*'模板使用说明&amp;基础参数'!$E$10)),IF(K602="删除",I602*'模板使用说明&amp;基础参数'!$E$7*'模板使用说明&amp;基础参数'!$E$12,IF(K602="修改",I602*'模板使用说明&amp;基础参数'!$E$7*'模板使用说明&amp;基础参数'!$E$11,I602*'模板使用说明&amp;基础参数'!$E$7*'模板使用说明&amp;基础参数'!$E$10)))))</f>
        <v>1.06666666666667</v>
      </c>
      <c r="M602" s="95"/>
      <c r="N602" s="99"/>
      <c r="O602" s="100"/>
    </row>
    <row r="603" s="70" customFormat="1" ht="25" customHeight="1" spans="1:15">
      <c r="A603" s="93">
        <v>598</v>
      </c>
      <c r="B603" s="94" t="s">
        <v>72</v>
      </c>
      <c r="C603" s="95" t="s">
        <v>276</v>
      </c>
      <c r="D603" s="95" t="s">
        <v>277</v>
      </c>
      <c r="E603" s="95" t="s">
        <v>277</v>
      </c>
      <c r="F603" s="95" t="s">
        <v>1296</v>
      </c>
      <c r="G603" s="95" t="s">
        <v>1297</v>
      </c>
      <c r="H603" s="93" t="s">
        <v>84</v>
      </c>
      <c r="I603" s="96">
        <f>IF(H603="ILF",IF($C$1="预估功能点",'模板使用说明&amp;基础参数'!$E$15,7),IF(H603="EIF",IF($C$1="预估功能点",'模板使用说明&amp;基础参数'!$E$16,5),IF(H603="EI",IF($C$1="预估功能点",'模板使用说明&amp;基础参数'!$E$17,'模板使用说明&amp;基础参数'!$E$24),IF(H603="EO",IF($C$1="预估功能点",'模板使用说明&amp;基础参数'!$E$18,'模板使用说明&amp;基础参数'!$E$25),IF(H603="EQ",IF($C$1="预估功能点",'模板使用说明&amp;基础参数'!$E$19,'模板使用说明&amp;基础参数'!$E$26),"")))))</f>
        <v>4</v>
      </c>
      <c r="J603" s="97" t="s">
        <v>38</v>
      </c>
      <c r="K603" s="97" t="s">
        <v>78</v>
      </c>
      <c r="L603" s="98">
        <f>IF(I603="","",IF(J603="高",IF(K603="删除",I603*'模板使用说明&amp;基础参数'!$E$5*'模板使用说明&amp;基础参数'!$E$12,IF(K603="修改",I603*'模板使用说明&amp;基础参数'!$E$5*'模板使用说明&amp;基础参数'!$E$11,I603*'模板使用说明&amp;基础参数'!$E$5*'模板使用说明&amp;基础参数'!$E$10)),IF(J603="中",IF(K603="删除",I603*'模板使用说明&amp;基础参数'!$E$6*'模板使用说明&amp;基础参数'!$E$12,IF(K603="修改",I603*'模板使用说明&amp;基础参数'!$E$6*'模板使用说明&amp;基础参数'!$E$11,I603*'模板使用说明&amp;基础参数'!$E$6*'模板使用说明&amp;基础参数'!$E$10)),IF(K603="删除",I603*'模板使用说明&amp;基础参数'!$E$7*'模板使用说明&amp;基础参数'!$E$12,IF(K603="修改",I603*'模板使用说明&amp;基础参数'!$E$7*'模板使用说明&amp;基础参数'!$E$11,I603*'模板使用说明&amp;基础参数'!$E$7*'模板使用说明&amp;基础参数'!$E$10)))))</f>
        <v>1.06666666666667</v>
      </c>
      <c r="M603" s="95"/>
      <c r="N603" s="99"/>
      <c r="O603" s="100"/>
    </row>
    <row r="604" s="70" customFormat="1" ht="25" customHeight="1" spans="1:15">
      <c r="A604" s="93">
        <v>599</v>
      </c>
      <c r="B604" s="94" t="s">
        <v>72</v>
      </c>
      <c r="C604" s="95" t="s">
        <v>276</v>
      </c>
      <c r="D604" s="95" t="s">
        <v>277</v>
      </c>
      <c r="E604" s="95" t="s">
        <v>277</v>
      </c>
      <c r="F604" s="95" t="s">
        <v>1298</v>
      </c>
      <c r="G604" s="95" t="s">
        <v>1299</v>
      </c>
      <c r="H604" s="93" t="s">
        <v>84</v>
      </c>
      <c r="I604" s="96">
        <f>IF(H604="ILF",IF($C$1="预估功能点",'模板使用说明&amp;基础参数'!$E$15,7),IF(H604="EIF",IF($C$1="预估功能点",'模板使用说明&amp;基础参数'!$E$16,5),IF(H604="EI",IF($C$1="预估功能点",'模板使用说明&amp;基础参数'!$E$17,'模板使用说明&amp;基础参数'!$E$24),IF(H604="EO",IF($C$1="预估功能点",'模板使用说明&amp;基础参数'!$E$18,'模板使用说明&amp;基础参数'!$E$25),IF(H604="EQ",IF($C$1="预估功能点",'模板使用说明&amp;基础参数'!$E$19,'模板使用说明&amp;基础参数'!$E$26),"")))))</f>
        <v>4</v>
      </c>
      <c r="J604" s="97" t="s">
        <v>38</v>
      </c>
      <c r="K604" s="97" t="s">
        <v>78</v>
      </c>
      <c r="L604" s="98">
        <f>IF(I604="","",IF(J604="高",IF(K604="删除",I604*'模板使用说明&amp;基础参数'!$E$5*'模板使用说明&amp;基础参数'!$E$12,IF(K604="修改",I604*'模板使用说明&amp;基础参数'!$E$5*'模板使用说明&amp;基础参数'!$E$11,I604*'模板使用说明&amp;基础参数'!$E$5*'模板使用说明&amp;基础参数'!$E$10)),IF(J604="中",IF(K604="删除",I604*'模板使用说明&amp;基础参数'!$E$6*'模板使用说明&amp;基础参数'!$E$12,IF(K604="修改",I604*'模板使用说明&amp;基础参数'!$E$6*'模板使用说明&amp;基础参数'!$E$11,I604*'模板使用说明&amp;基础参数'!$E$6*'模板使用说明&amp;基础参数'!$E$10)),IF(K604="删除",I604*'模板使用说明&amp;基础参数'!$E$7*'模板使用说明&amp;基础参数'!$E$12,IF(K604="修改",I604*'模板使用说明&amp;基础参数'!$E$7*'模板使用说明&amp;基础参数'!$E$11,I604*'模板使用说明&amp;基础参数'!$E$7*'模板使用说明&amp;基础参数'!$E$10)))))</f>
        <v>1.06666666666667</v>
      </c>
      <c r="M604" s="95"/>
      <c r="N604" s="99"/>
      <c r="O604" s="100"/>
    </row>
    <row r="605" s="70" customFormat="1" ht="25" customHeight="1" spans="1:15">
      <c r="A605" s="93">
        <v>600</v>
      </c>
      <c r="B605" s="94" t="s">
        <v>72</v>
      </c>
      <c r="C605" s="95" t="s">
        <v>276</v>
      </c>
      <c r="D605" s="95" t="s">
        <v>277</v>
      </c>
      <c r="E605" s="95" t="s">
        <v>277</v>
      </c>
      <c r="F605" s="95" t="s">
        <v>1300</v>
      </c>
      <c r="G605" s="95" t="s">
        <v>1301</v>
      </c>
      <c r="H605" s="93" t="s">
        <v>84</v>
      </c>
      <c r="I605" s="96">
        <f>IF(H605="ILF",IF($C$1="预估功能点",'模板使用说明&amp;基础参数'!$E$15,7),IF(H605="EIF",IF($C$1="预估功能点",'模板使用说明&amp;基础参数'!$E$16,5),IF(H605="EI",IF($C$1="预估功能点",'模板使用说明&amp;基础参数'!$E$17,'模板使用说明&amp;基础参数'!$E$24),IF(H605="EO",IF($C$1="预估功能点",'模板使用说明&amp;基础参数'!$E$18,'模板使用说明&amp;基础参数'!$E$25),IF(H605="EQ",IF($C$1="预估功能点",'模板使用说明&amp;基础参数'!$E$19,'模板使用说明&amp;基础参数'!$E$26),"")))))</f>
        <v>4</v>
      </c>
      <c r="J605" s="97" t="s">
        <v>38</v>
      </c>
      <c r="K605" s="97" t="s">
        <v>78</v>
      </c>
      <c r="L605" s="98">
        <f>IF(I605="","",IF(J605="高",IF(K605="删除",I605*'模板使用说明&amp;基础参数'!$E$5*'模板使用说明&amp;基础参数'!$E$12,IF(K605="修改",I605*'模板使用说明&amp;基础参数'!$E$5*'模板使用说明&amp;基础参数'!$E$11,I605*'模板使用说明&amp;基础参数'!$E$5*'模板使用说明&amp;基础参数'!$E$10)),IF(J605="中",IF(K605="删除",I605*'模板使用说明&amp;基础参数'!$E$6*'模板使用说明&amp;基础参数'!$E$12,IF(K605="修改",I605*'模板使用说明&amp;基础参数'!$E$6*'模板使用说明&amp;基础参数'!$E$11,I605*'模板使用说明&amp;基础参数'!$E$6*'模板使用说明&amp;基础参数'!$E$10)),IF(K605="删除",I605*'模板使用说明&amp;基础参数'!$E$7*'模板使用说明&amp;基础参数'!$E$12,IF(K605="修改",I605*'模板使用说明&amp;基础参数'!$E$7*'模板使用说明&amp;基础参数'!$E$11,I605*'模板使用说明&amp;基础参数'!$E$7*'模板使用说明&amp;基础参数'!$E$10)))))</f>
        <v>1.06666666666667</v>
      </c>
      <c r="M605" s="95"/>
      <c r="N605" s="99"/>
      <c r="O605" s="100"/>
    </row>
    <row r="606" s="70" customFormat="1" ht="25" customHeight="1" spans="1:15">
      <c r="A606" s="93">
        <v>601</v>
      </c>
      <c r="B606" s="94" t="s">
        <v>72</v>
      </c>
      <c r="C606" s="95" t="s">
        <v>276</v>
      </c>
      <c r="D606" s="95" t="s">
        <v>277</v>
      </c>
      <c r="E606" s="95" t="s">
        <v>277</v>
      </c>
      <c r="F606" s="95" t="s">
        <v>1302</v>
      </c>
      <c r="G606" s="95" t="s">
        <v>1303</v>
      </c>
      <c r="H606" s="93" t="s">
        <v>77</v>
      </c>
      <c r="I606" s="96">
        <f>IF(H606="ILF",IF($C$1="预估功能点",'模板使用说明&amp;基础参数'!$E$15,7),IF(H606="EIF",IF($C$1="预估功能点",'模板使用说明&amp;基础参数'!$E$16,5),IF(H606="EI",IF($C$1="预估功能点",'模板使用说明&amp;基础参数'!$E$17,'模板使用说明&amp;基础参数'!$E$24),IF(H606="EO",IF($C$1="预估功能点",'模板使用说明&amp;基础参数'!$E$18,'模板使用说明&amp;基础参数'!$E$25),IF(H606="EQ",IF($C$1="预估功能点",'模板使用说明&amp;基础参数'!$E$19,'模板使用说明&amp;基础参数'!$E$26),"")))))</f>
        <v>7</v>
      </c>
      <c r="J606" s="97" t="s">
        <v>38</v>
      </c>
      <c r="K606" s="97" t="s">
        <v>78</v>
      </c>
      <c r="L606" s="98">
        <f>IF(I606="","",IF(J606="高",IF(K606="删除",I606*'模板使用说明&amp;基础参数'!$E$5*'模板使用说明&amp;基础参数'!$E$12,IF(K606="修改",I606*'模板使用说明&amp;基础参数'!$E$5*'模板使用说明&amp;基础参数'!$E$11,I606*'模板使用说明&amp;基础参数'!$E$5*'模板使用说明&amp;基础参数'!$E$10)),IF(J606="中",IF(K606="删除",I606*'模板使用说明&amp;基础参数'!$E$6*'模板使用说明&amp;基础参数'!$E$12,IF(K606="修改",I606*'模板使用说明&amp;基础参数'!$E$6*'模板使用说明&amp;基础参数'!$E$11,I606*'模板使用说明&amp;基础参数'!$E$6*'模板使用说明&amp;基础参数'!$E$10)),IF(K606="删除",I606*'模板使用说明&amp;基础参数'!$E$7*'模板使用说明&amp;基础参数'!$E$12,IF(K606="修改",I606*'模板使用说明&amp;基础参数'!$E$7*'模板使用说明&amp;基础参数'!$E$11,I606*'模板使用说明&amp;基础参数'!$E$7*'模板使用说明&amp;基础参数'!$E$10)))))</f>
        <v>1.86666666666666</v>
      </c>
      <c r="M606" s="95"/>
      <c r="N606" s="99"/>
      <c r="O606" s="100"/>
    </row>
    <row r="607" s="70" customFormat="1" ht="25" customHeight="1" spans="1:15">
      <c r="A607" s="93">
        <v>602</v>
      </c>
      <c r="B607" s="94" t="s">
        <v>72</v>
      </c>
      <c r="C607" s="95" t="s">
        <v>276</v>
      </c>
      <c r="D607" s="95" t="s">
        <v>277</v>
      </c>
      <c r="E607" s="95" t="s">
        <v>277</v>
      </c>
      <c r="F607" s="95" t="s">
        <v>1304</v>
      </c>
      <c r="G607" s="95" t="s">
        <v>1305</v>
      </c>
      <c r="H607" s="93" t="s">
        <v>81</v>
      </c>
      <c r="I607" s="96">
        <f>IF(H607="ILF",IF($C$1="预估功能点",'模板使用说明&amp;基础参数'!$E$15,7),IF(H607="EIF",IF($C$1="预估功能点",'模板使用说明&amp;基础参数'!$E$16,5),IF(H607="EI",IF($C$1="预估功能点",'模板使用说明&amp;基础参数'!$E$17,'模板使用说明&amp;基础参数'!$E$24),IF(H607="EO",IF($C$1="预估功能点",'模板使用说明&amp;基础参数'!$E$18,'模板使用说明&amp;基础参数'!$E$25),IF(H607="EQ",IF($C$1="预估功能点",'模板使用说明&amp;基础参数'!$E$19,'模板使用说明&amp;基础参数'!$E$26),"")))))</f>
        <v>4</v>
      </c>
      <c r="J607" s="97" t="s">
        <v>38</v>
      </c>
      <c r="K607" s="97" t="s">
        <v>78</v>
      </c>
      <c r="L607" s="98">
        <f>IF(I607="","",IF(J607="高",IF(K607="删除",I607*'模板使用说明&amp;基础参数'!$E$5*'模板使用说明&amp;基础参数'!$E$12,IF(K607="修改",I607*'模板使用说明&amp;基础参数'!$E$5*'模板使用说明&amp;基础参数'!$E$11,I607*'模板使用说明&amp;基础参数'!$E$5*'模板使用说明&amp;基础参数'!$E$10)),IF(J607="中",IF(K607="删除",I607*'模板使用说明&amp;基础参数'!$E$6*'模板使用说明&amp;基础参数'!$E$12,IF(K607="修改",I607*'模板使用说明&amp;基础参数'!$E$6*'模板使用说明&amp;基础参数'!$E$11,I607*'模板使用说明&amp;基础参数'!$E$6*'模板使用说明&amp;基础参数'!$E$10)),IF(K607="删除",I607*'模板使用说明&amp;基础参数'!$E$7*'模板使用说明&amp;基础参数'!$E$12,IF(K607="修改",I607*'模板使用说明&amp;基础参数'!$E$7*'模板使用说明&amp;基础参数'!$E$11,I607*'模板使用说明&amp;基础参数'!$E$7*'模板使用说明&amp;基础参数'!$E$10)))))</f>
        <v>1.06666666666667</v>
      </c>
      <c r="M607" s="95"/>
      <c r="N607" s="99"/>
      <c r="O607" s="100"/>
    </row>
    <row r="608" s="70" customFormat="1" ht="25" customHeight="1" spans="1:15">
      <c r="A608" s="93">
        <v>603</v>
      </c>
      <c r="B608" s="94" t="s">
        <v>72</v>
      </c>
      <c r="C608" s="95" t="s">
        <v>276</v>
      </c>
      <c r="D608" s="95" t="s">
        <v>277</v>
      </c>
      <c r="E608" s="95" t="s">
        <v>277</v>
      </c>
      <c r="F608" s="95" t="s">
        <v>1306</v>
      </c>
      <c r="G608" s="95" t="s">
        <v>1307</v>
      </c>
      <c r="H608" s="93" t="s">
        <v>84</v>
      </c>
      <c r="I608" s="96">
        <f>IF(H608="ILF",IF($C$1="预估功能点",'模板使用说明&amp;基础参数'!$E$15,7),IF(H608="EIF",IF($C$1="预估功能点",'模板使用说明&amp;基础参数'!$E$16,5),IF(H608="EI",IF($C$1="预估功能点",'模板使用说明&amp;基础参数'!$E$17,'模板使用说明&amp;基础参数'!$E$24),IF(H608="EO",IF($C$1="预估功能点",'模板使用说明&amp;基础参数'!$E$18,'模板使用说明&amp;基础参数'!$E$25),IF(H608="EQ",IF($C$1="预估功能点",'模板使用说明&amp;基础参数'!$E$19,'模板使用说明&amp;基础参数'!$E$26),"")))))</f>
        <v>4</v>
      </c>
      <c r="J608" s="97" t="s">
        <v>38</v>
      </c>
      <c r="K608" s="97" t="s">
        <v>78</v>
      </c>
      <c r="L608" s="98">
        <f>IF(I608="","",IF(J608="高",IF(K608="删除",I608*'模板使用说明&amp;基础参数'!$E$5*'模板使用说明&amp;基础参数'!$E$12,IF(K608="修改",I608*'模板使用说明&amp;基础参数'!$E$5*'模板使用说明&amp;基础参数'!$E$11,I608*'模板使用说明&amp;基础参数'!$E$5*'模板使用说明&amp;基础参数'!$E$10)),IF(J608="中",IF(K608="删除",I608*'模板使用说明&amp;基础参数'!$E$6*'模板使用说明&amp;基础参数'!$E$12,IF(K608="修改",I608*'模板使用说明&amp;基础参数'!$E$6*'模板使用说明&amp;基础参数'!$E$11,I608*'模板使用说明&amp;基础参数'!$E$6*'模板使用说明&amp;基础参数'!$E$10)),IF(K608="删除",I608*'模板使用说明&amp;基础参数'!$E$7*'模板使用说明&amp;基础参数'!$E$12,IF(K608="修改",I608*'模板使用说明&amp;基础参数'!$E$7*'模板使用说明&amp;基础参数'!$E$11,I608*'模板使用说明&amp;基础参数'!$E$7*'模板使用说明&amp;基础参数'!$E$10)))))</f>
        <v>1.06666666666667</v>
      </c>
      <c r="M608" s="95"/>
      <c r="N608" s="99"/>
      <c r="O608" s="100"/>
    </row>
    <row r="609" s="70" customFormat="1" ht="25" customHeight="1" spans="1:15">
      <c r="A609" s="93">
        <v>604</v>
      </c>
      <c r="B609" s="94" t="s">
        <v>72</v>
      </c>
      <c r="C609" s="95" t="s">
        <v>276</v>
      </c>
      <c r="D609" s="95" t="s">
        <v>277</v>
      </c>
      <c r="E609" s="95" t="s">
        <v>277</v>
      </c>
      <c r="F609" s="95" t="s">
        <v>1308</v>
      </c>
      <c r="G609" s="95" t="s">
        <v>1309</v>
      </c>
      <c r="H609" s="93" t="s">
        <v>84</v>
      </c>
      <c r="I609" s="96">
        <f>IF(H609="ILF",IF($C$1="预估功能点",'模板使用说明&amp;基础参数'!$E$15,7),IF(H609="EIF",IF($C$1="预估功能点",'模板使用说明&amp;基础参数'!$E$16,5),IF(H609="EI",IF($C$1="预估功能点",'模板使用说明&amp;基础参数'!$E$17,'模板使用说明&amp;基础参数'!$E$24),IF(H609="EO",IF($C$1="预估功能点",'模板使用说明&amp;基础参数'!$E$18,'模板使用说明&amp;基础参数'!$E$25),IF(H609="EQ",IF($C$1="预估功能点",'模板使用说明&amp;基础参数'!$E$19,'模板使用说明&amp;基础参数'!$E$26),"")))))</f>
        <v>4</v>
      </c>
      <c r="J609" s="97" t="s">
        <v>38</v>
      </c>
      <c r="K609" s="97" t="s">
        <v>78</v>
      </c>
      <c r="L609" s="98">
        <f>IF(I609="","",IF(J609="高",IF(K609="删除",I609*'模板使用说明&amp;基础参数'!$E$5*'模板使用说明&amp;基础参数'!$E$12,IF(K609="修改",I609*'模板使用说明&amp;基础参数'!$E$5*'模板使用说明&amp;基础参数'!$E$11,I609*'模板使用说明&amp;基础参数'!$E$5*'模板使用说明&amp;基础参数'!$E$10)),IF(J609="中",IF(K609="删除",I609*'模板使用说明&amp;基础参数'!$E$6*'模板使用说明&amp;基础参数'!$E$12,IF(K609="修改",I609*'模板使用说明&amp;基础参数'!$E$6*'模板使用说明&amp;基础参数'!$E$11,I609*'模板使用说明&amp;基础参数'!$E$6*'模板使用说明&amp;基础参数'!$E$10)),IF(K609="删除",I609*'模板使用说明&amp;基础参数'!$E$7*'模板使用说明&amp;基础参数'!$E$12,IF(K609="修改",I609*'模板使用说明&amp;基础参数'!$E$7*'模板使用说明&amp;基础参数'!$E$11,I609*'模板使用说明&amp;基础参数'!$E$7*'模板使用说明&amp;基础参数'!$E$10)))))</f>
        <v>1.06666666666667</v>
      </c>
      <c r="M609" s="95"/>
      <c r="N609" s="99"/>
      <c r="O609" s="100"/>
    </row>
    <row r="610" s="70" customFormat="1" ht="25" customHeight="1" spans="1:15">
      <c r="A610" s="93">
        <v>605</v>
      </c>
      <c r="B610" s="94" t="s">
        <v>72</v>
      </c>
      <c r="C610" s="95" t="s">
        <v>276</v>
      </c>
      <c r="D610" s="95" t="s">
        <v>277</v>
      </c>
      <c r="E610" s="95" t="s">
        <v>277</v>
      </c>
      <c r="F610" s="95" t="s">
        <v>1310</v>
      </c>
      <c r="G610" s="95" t="s">
        <v>1311</v>
      </c>
      <c r="H610" s="93" t="s">
        <v>84</v>
      </c>
      <c r="I610" s="96">
        <f>IF(H610="ILF",IF($C$1="预估功能点",'模板使用说明&amp;基础参数'!$E$15,7),IF(H610="EIF",IF($C$1="预估功能点",'模板使用说明&amp;基础参数'!$E$16,5),IF(H610="EI",IF($C$1="预估功能点",'模板使用说明&amp;基础参数'!$E$17,'模板使用说明&amp;基础参数'!$E$24),IF(H610="EO",IF($C$1="预估功能点",'模板使用说明&amp;基础参数'!$E$18,'模板使用说明&amp;基础参数'!$E$25),IF(H610="EQ",IF($C$1="预估功能点",'模板使用说明&amp;基础参数'!$E$19,'模板使用说明&amp;基础参数'!$E$26),"")))))</f>
        <v>4</v>
      </c>
      <c r="J610" s="97" t="s">
        <v>38</v>
      </c>
      <c r="K610" s="97" t="s">
        <v>78</v>
      </c>
      <c r="L610" s="98">
        <f>IF(I610="","",IF(J610="高",IF(K610="删除",I610*'模板使用说明&amp;基础参数'!$E$5*'模板使用说明&amp;基础参数'!$E$12,IF(K610="修改",I610*'模板使用说明&amp;基础参数'!$E$5*'模板使用说明&amp;基础参数'!$E$11,I610*'模板使用说明&amp;基础参数'!$E$5*'模板使用说明&amp;基础参数'!$E$10)),IF(J610="中",IF(K610="删除",I610*'模板使用说明&amp;基础参数'!$E$6*'模板使用说明&amp;基础参数'!$E$12,IF(K610="修改",I610*'模板使用说明&amp;基础参数'!$E$6*'模板使用说明&amp;基础参数'!$E$11,I610*'模板使用说明&amp;基础参数'!$E$6*'模板使用说明&amp;基础参数'!$E$10)),IF(K610="删除",I610*'模板使用说明&amp;基础参数'!$E$7*'模板使用说明&amp;基础参数'!$E$12,IF(K610="修改",I610*'模板使用说明&amp;基础参数'!$E$7*'模板使用说明&amp;基础参数'!$E$11,I610*'模板使用说明&amp;基础参数'!$E$7*'模板使用说明&amp;基础参数'!$E$10)))))</f>
        <v>1.06666666666667</v>
      </c>
      <c r="M610" s="95"/>
      <c r="N610" s="99"/>
      <c r="O610" s="100"/>
    </row>
    <row r="611" s="70" customFormat="1" ht="25" customHeight="1" spans="1:15">
      <c r="A611" s="93">
        <v>606</v>
      </c>
      <c r="B611" s="94" t="s">
        <v>72</v>
      </c>
      <c r="C611" s="95" t="s">
        <v>276</v>
      </c>
      <c r="D611" s="95" t="s">
        <v>277</v>
      </c>
      <c r="E611" s="95" t="s">
        <v>277</v>
      </c>
      <c r="F611" s="95" t="s">
        <v>1312</v>
      </c>
      <c r="G611" s="95" t="s">
        <v>1313</v>
      </c>
      <c r="H611" s="93" t="s">
        <v>77</v>
      </c>
      <c r="I611" s="96">
        <f>IF(H611="ILF",IF($C$1="预估功能点",'模板使用说明&amp;基础参数'!$E$15,7),IF(H611="EIF",IF($C$1="预估功能点",'模板使用说明&amp;基础参数'!$E$16,5),IF(H611="EI",IF($C$1="预估功能点",'模板使用说明&amp;基础参数'!$E$17,'模板使用说明&amp;基础参数'!$E$24),IF(H611="EO",IF($C$1="预估功能点",'模板使用说明&amp;基础参数'!$E$18,'模板使用说明&amp;基础参数'!$E$25),IF(H611="EQ",IF($C$1="预估功能点",'模板使用说明&amp;基础参数'!$E$19,'模板使用说明&amp;基础参数'!$E$26),"")))))</f>
        <v>7</v>
      </c>
      <c r="J611" s="97" t="s">
        <v>38</v>
      </c>
      <c r="K611" s="97" t="s">
        <v>78</v>
      </c>
      <c r="L611" s="98">
        <f>IF(I611="","",IF(J611="高",IF(K611="删除",I611*'模板使用说明&amp;基础参数'!$E$5*'模板使用说明&amp;基础参数'!$E$12,IF(K611="修改",I611*'模板使用说明&amp;基础参数'!$E$5*'模板使用说明&amp;基础参数'!$E$11,I611*'模板使用说明&amp;基础参数'!$E$5*'模板使用说明&amp;基础参数'!$E$10)),IF(J611="中",IF(K611="删除",I611*'模板使用说明&amp;基础参数'!$E$6*'模板使用说明&amp;基础参数'!$E$12,IF(K611="修改",I611*'模板使用说明&amp;基础参数'!$E$6*'模板使用说明&amp;基础参数'!$E$11,I611*'模板使用说明&amp;基础参数'!$E$6*'模板使用说明&amp;基础参数'!$E$10)),IF(K611="删除",I611*'模板使用说明&amp;基础参数'!$E$7*'模板使用说明&amp;基础参数'!$E$12,IF(K611="修改",I611*'模板使用说明&amp;基础参数'!$E$7*'模板使用说明&amp;基础参数'!$E$11,I611*'模板使用说明&amp;基础参数'!$E$7*'模板使用说明&amp;基础参数'!$E$10)))))</f>
        <v>1.86666666666666</v>
      </c>
      <c r="M611" s="95"/>
      <c r="N611" s="99"/>
      <c r="O611" s="100"/>
    </row>
    <row r="612" s="70" customFormat="1" ht="25" customHeight="1" spans="1:15">
      <c r="A612" s="93">
        <v>607</v>
      </c>
      <c r="B612" s="94" t="s">
        <v>72</v>
      </c>
      <c r="C612" s="95" t="s">
        <v>276</v>
      </c>
      <c r="D612" s="95" t="s">
        <v>277</v>
      </c>
      <c r="E612" s="95" t="s">
        <v>277</v>
      </c>
      <c r="F612" s="95" t="s">
        <v>1314</v>
      </c>
      <c r="G612" s="95" t="s">
        <v>1315</v>
      </c>
      <c r="H612" s="93" t="s">
        <v>81</v>
      </c>
      <c r="I612" s="96">
        <f>IF(H612="ILF",IF($C$1="预估功能点",'模板使用说明&amp;基础参数'!$E$15,7),IF(H612="EIF",IF($C$1="预估功能点",'模板使用说明&amp;基础参数'!$E$16,5),IF(H612="EI",IF($C$1="预估功能点",'模板使用说明&amp;基础参数'!$E$17,'模板使用说明&amp;基础参数'!$E$24),IF(H612="EO",IF($C$1="预估功能点",'模板使用说明&amp;基础参数'!$E$18,'模板使用说明&amp;基础参数'!$E$25),IF(H612="EQ",IF($C$1="预估功能点",'模板使用说明&amp;基础参数'!$E$19,'模板使用说明&amp;基础参数'!$E$26),"")))))</f>
        <v>4</v>
      </c>
      <c r="J612" s="97" t="s">
        <v>38</v>
      </c>
      <c r="K612" s="97" t="s">
        <v>78</v>
      </c>
      <c r="L612" s="98">
        <f>IF(I612="","",IF(J612="高",IF(K612="删除",I612*'模板使用说明&amp;基础参数'!$E$5*'模板使用说明&amp;基础参数'!$E$12,IF(K612="修改",I612*'模板使用说明&amp;基础参数'!$E$5*'模板使用说明&amp;基础参数'!$E$11,I612*'模板使用说明&amp;基础参数'!$E$5*'模板使用说明&amp;基础参数'!$E$10)),IF(J612="中",IF(K612="删除",I612*'模板使用说明&amp;基础参数'!$E$6*'模板使用说明&amp;基础参数'!$E$12,IF(K612="修改",I612*'模板使用说明&amp;基础参数'!$E$6*'模板使用说明&amp;基础参数'!$E$11,I612*'模板使用说明&amp;基础参数'!$E$6*'模板使用说明&amp;基础参数'!$E$10)),IF(K612="删除",I612*'模板使用说明&amp;基础参数'!$E$7*'模板使用说明&amp;基础参数'!$E$12,IF(K612="修改",I612*'模板使用说明&amp;基础参数'!$E$7*'模板使用说明&amp;基础参数'!$E$11,I612*'模板使用说明&amp;基础参数'!$E$7*'模板使用说明&amp;基础参数'!$E$10)))))</f>
        <v>1.06666666666667</v>
      </c>
      <c r="M612" s="95"/>
      <c r="N612" s="99"/>
      <c r="O612" s="100"/>
    </row>
    <row r="613" s="70" customFormat="1" ht="25" customHeight="1" spans="1:15">
      <c r="A613" s="93">
        <v>608</v>
      </c>
      <c r="B613" s="94" t="s">
        <v>72</v>
      </c>
      <c r="C613" s="95" t="s">
        <v>276</v>
      </c>
      <c r="D613" s="95" t="s">
        <v>277</v>
      </c>
      <c r="E613" s="95" t="s">
        <v>277</v>
      </c>
      <c r="F613" s="95" t="s">
        <v>1316</v>
      </c>
      <c r="G613" s="95" t="s">
        <v>1317</v>
      </c>
      <c r="H613" s="93" t="s">
        <v>84</v>
      </c>
      <c r="I613" s="96">
        <f>IF(H613="ILF",IF($C$1="预估功能点",'模板使用说明&amp;基础参数'!$E$15,7),IF(H613="EIF",IF($C$1="预估功能点",'模板使用说明&amp;基础参数'!$E$16,5),IF(H613="EI",IF($C$1="预估功能点",'模板使用说明&amp;基础参数'!$E$17,'模板使用说明&amp;基础参数'!$E$24),IF(H613="EO",IF($C$1="预估功能点",'模板使用说明&amp;基础参数'!$E$18,'模板使用说明&amp;基础参数'!$E$25),IF(H613="EQ",IF($C$1="预估功能点",'模板使用说明&amp;基础参数'!$E$19,'模板使用说明&amp;基础参数'!$E$26),"")))))</f>
        <v>4</v>
      </c>
      <c r="J613" s="97" t="s">
        <v>38</v>
      </c>
      <c r="K613" s="97" t="s">
        <v>78</v>
      </c>
      <c r="L613" s="98">
        <f>IF(I613="","",IF(J613="高",IF(K613="删除",I613*'模板使用说明&amp;基础参数'!$E$5*'模板使用说明&amp;基础参数'!$E$12,IF(K613="修改",I613*'模板使用说明&amp;基础参数'!$E$5*'模板使用说明&amp;基础参数'!$E$11,I613*'模板使用说明&amp;基础参数'!$E$5*'模板使用说明&amp;基础参数'!$E$10)),IF(J613="中",IF(K613="删除",I613*'模板使用说明&amp;基础参数'!$E$6*'模板使用说明&amp;基础参数'!$E$12,IF(K613="修改",I613*'模板使用说明&amp;基础参数'!$E$6*'模板使用说明&amp;基础参数'!$E$11,I613*'模板使用说明&amp;基础参数'!$E$6*'模板使用说明&amp;基础参数'!$E$10)),IF(K613="删除",I613*'模板使用说明&amp;基础参数'!$E$7*'模板使用说明&amp;基础参数'!$E$12,IF(K613="修改",I613*'模板使用说明&amp;基础参数'!$E$7*'模板使用说明&amp;基础参数'!$E$11,I613*'模板使用说明&amp;基础参数'!$E$7*'模板使用说明&amp;基础参数'!$E$10)))))</f>
        <v>1.06666666666667</v>
      </c>
      <c r="M613" s="95"/>
      <c r="N613" s="99"/>
      <c r="O613" s="100"/>
    </row>
    <row r="614" s="70" customFormat="1" ht="25" customHeight="1" spans="1:15">
      <c r="A614" s="93">
        <v>609</v>
      </c>
      <c r="B614" s="94" t="s">
        <v>72</v>
      </c>
      <c r="C614" s="95" t="s">
        <v>276</v>
      </c>
      <c r="D614" s="95" t="s">
        <v>277</v>
      </c>
      <c r="E614" s="95" t="s">
        <v>277</v>
      </c>
      <c r="F614" s="95" t="s">
        <v>1318</v>
      </c>
      <c r="G614" s="95" t="s">
        <v>1319</v>
      </c>
      <c r="H614" s="93" t="s">
        <v>84</v>
      </c>
      <c r="I614" s="96">
        <f>IF(H614="ILF",IF($C$1="预估功能点",'模板使用说明&amp;基础参数'!$E$15,7),IF(H614="EIF",IF($C$1="预估功能点",'模板使用说明&amp;基础参数'!$E$16,5),IF(H614="EI",IF($C$1="预估功能点",'模板使用说明&amp;基础参数'!$E$17,'模板使用说明&amp;基础参数'!$E$24),IF(H614="EO",IF($C$1="预估功能点",'模板使用说明&amp;基础参数'!$E$18,'模板使用说明&amp;基础参数'!$E$25),IF(H614="EQ",IF($C$1="预估功能点",'模板使用说明&amp;基础参数'!$E$19,'模板使用说明&amp;基础参数'!$E$26),"")))))</f>
        <v>4</v>
      </c>
      <c r="J614" s="97" t="s">
        <v>38</v>
      </c>
      <c r="K614" s="97" t="s">
        <v>78</v>
      </c>
      <c r="L614" s="98">
        <f>IF(I614="","",IF(J614="高",IF(K614="删除",I614*'模板使用说明&amp;基础参数'!$E$5*'模板使用说明&amp;基础参数'!$E$12,IF(K614="修改",I614*'模板使用说明&amp;基础参数'!$E$5*'模板使用说明&amp;基础参数'!$E$11,I614*'模板使用说明&amp;基础参数'!$E$5*'模板使用说明&amp;基础参数'!$E$10)),IF(J614="中",IF(K614="删除",I614*'模板使用说明&amp;基础参数'!$E$6*'模板使用说明&amp;基础参数'!$E$12,IF(K614="修改",I614*'模板使用说明&amp;基础参数'!$E$6*'模板使用说明&amp;基础参数'!$E$11,I614*'模板使用说明&amp;基础参数'!$E$6*'模板使用说明&amp;基础参数'!$E$10)),IF(K614="删除",I614*'模板使用说明&amp;基础参数'!$E$7*'模板使用说明&amp;基础参数'!$E$12,IF(K614="修改",I614*'模板使用说明&amp;基础参数'!$E$7*'模板使用说明&amp;基础参数'!$E$11,I614*'模板使用说明&amp;基础参数'!$E$7*'模板使用说明&amp;基础参数'!$E$10)))))</f>
        <v>1.06666666666667</v>
      </c>
      <c r="M614" s="95"/>
      <c r="N614" s="99"/>
      <c r="O614" s="100"/>
    </row>
    <row r="615" s="70" customFormat="1" ht="25" customHeight="1" spans="1:15">
      <c r="A615" s="93">
        <v>610</v>
      </c>
      <c r="B615" s="94" t="s">
        <v>72</v>
      </c>
      <c r="C615" s="95" t="s">
        <v>276</v>
      </c>
      <c r="D615" s="95" t="s">
        <v>277</v>
      </c>
      <c r="E615" s="95" t="s">
        <v>277</v>
      </c>
      <c r="F615" s="95" t="s">
        <v>1320</v>
      </c>
      <c r="G615" s="95" t="s">
        <v>1321</v>
      </c>
      <c r="H615" s="93" t="s">
        <v>84</v>
      </c>
      <c r="I615" s="96">
        <f>IF(H615="ILF",IF($C$1="预估功能点",'模板使用说明&amp;基础参数'!$E$15,7),IF(H615="EIF",IF($C$1="预估功能点",'模板使用说明&amp;基础参数'!$E$16,5),IF(H615="EI",IF($C$1="预估功能点",'模板使用说明&amp;基础参数'!$E$17,'模板使用说明&amp;基础参数'!$E$24),IF(H615="EO",IF($C$1="预估功能点",'模板使用说明&amp;基础参数'!$E$18,'模板使用说明&amp;基础参数'!$E$25),IF(H615="EQ",IF($C$1="预估功能点",'模板使用说明&amp;基础参数'!$E$19,'模板使用说明&amp;基础参数'!$E$26),"")))))</f>
        <v>4</v>
      </c>
      <c r="J615" s="97" t="s">
        <v>38</v>
      </c>
      <c r="K615" s="97" t="s">
        <v>78</v>
      </c>
      <c r="L615" s="98">
        <f>IF(I615="","",IF(J615="高",IF(K615="删除",I615*'模板使用说明&amp;基础参数'!$E$5*'模板使用说明&amp;基础参数'!$E$12,IF(K615="修改",I615*'模板使用说明&amp;基础参数'!$E$5*'模板使用说明&amp;基础参数'!$E$11,I615*'模板使用说明&amp;基础参数'!$E$5*'模板使用说明&amp;基础参数'!$E$10)),IF(J615="中",IF(K615="删除",I615*'模板使用说明&amp;基础参数'!$E$6*'模板使用说明&amp;基础参数'!$E$12,IF(K615="修改",I615*'模板使用说明&amp;基础参数'!$E$6*'模板使用说明&amp;基础参数'!$E$11,I615*'模板使用说明&amp;基础参数'!$E$6*'模板使用说明&amp;基础参数'!$E$10)),IF(K615="删除",I615*'模板使用说明&amp;基础参数'!$E$7*'模板使用说明&amp;基础参数'!$E$12,IF(K615="修改",I615*'模板使用说明&amp;基础参数'!$E$7*'模板使用说明&amp;基础参数'!$E$11,I615*'模板使用说明&amp;基础参数'!$E$7*'模板使用说明&amp;基础参数'!$E$10)))))</f>
        <v>1.06666666666667</v>
      </c>
      <c r="M615" s="95"/>
      <c r="N615" s="99"/>
      <c r="O615" s="100"/>
    </row>
    <row r="616" s="70" customFormat="1" ht="25" customHeight="1" spans="1:15">
      <c r="A616" s="93">
        <v>611</v>
      </c>
      <c r="B616" s="94" t="s">
        <v>72</v>
      </c>
      <c r="C616" s="95" t="s">
        <v>276</v>
      </c>
      <c r="D616" s="95" t="s">
        <v>277</v>
      </c>
      <c r="E616" s="95" t="s">
        <v>277</v>
      </c>
      <c r="F616" s="95" t="s">
        <v>1322</v>
      </c>
      <c r="G616" s="95" t="s">
        <v>1323</v>
      </c>
      <c r="H616" s="93" t="s">
        <v>77</v>
      </c>
      <c r="I616" s="96">
        <f>IF(H616="ILF",IF($C$1="预估功能点",'模板使用说明&amp;基础参数'!$E$15,7),IF(H616="EIF",IF($C$1="预估功能点",'模板使用说明&amp;基础参数'!$E$16,5),IF(H616="EI",IF($C$1="预估功能点",'模板使用说明&amp;基础参数'!$E$17,'模板使用说明&amp;基础参数'!$E$24),IF(H616="EO",IF($C$1="预估功能点",'模板使用说明&amp;基础参数'!$E$18,'模板使用说明&amp;基础参数'!$E$25),IF(H616="EQ",IF($C$1="预估功能点",'模板使用说明&amp;基础参数'!$E$19,'模板使用说明&amp;基础参数'!$E$26),"")))))</f>
        <v>7</v>
      </c>
      <c r="J616" s="97" t="s">
        <v>38</v>
      </c>
      <c r="K616" s="97" t="s">
        <v>78</v>
      </c>
      <c r="L616" s="98">
        <f>IF(I616="","",IF(J616="高",IF(K616="删除",I616*'模板使用说明&amp;基础参数'!$E$5*'模板使用说明&amp;基础参数'!$E$12,IF(K616="修改",I616*'模板使用说明&amp;基础参数'!$E$5*'模板使用说明&amp;基础参数'!$E$11,I616*'模板使用说明&amp;基础参数'!$E$5*'模板使用说明&amp;基础参数'!$E$10)),IF(J616="中",IF(K616="删除",I616*'模板使用说明&amp;基础参数'!$E$6*'模板使用说明&amp;基础参数'!$E$12,IF(K616="修改",I616*'模板使用说明&amp;基础参数'!$E$6*'模板使用说明&amp;基础参数'!$E$11,I616*'模板使用说明&amp;基础参数'!$E$6*'模板使用说明&amp;基础参数'!$E$10)),IF(K616="删除",I616*'模板使用说明&amp;基础参数'!$E$7*'模板使用说明&amp;基础参数'!$E$12,IF(K616="修改",I616*'模板使用说明&amp;基础参数'!$E$7*'模板使用说明&amp;基础参数'!$E$11,I616*'模板使用说明&amp;基础参数'!$E$7*'模板使用说明&amp;基础参数'!$E$10)))))</f>
        <v>1.86666666666666</v>
      </c>
      <c r="M616" s="95"/>
      <c r="N616" s="99"/>
      <c r="O616" s="100"/>
    </row>
    <row r="617" s="70" customFormat="1" ht="25" customHeight="1" spans="1:15">
      <c r="A617" s="93">
        <v>612</v>
      </c>
      <c r="B617" s="94" t="s">
        <v>72</v>
      </c>
      <c r="C617" s="95" t="s">
        <v>276</v>
      </c>
      <c r="D617" s="95" t="s">
        <v>277</v>
      </c>
      <c r="E617" s="95" t="s">
        <v>277</v>
      </c>
      <c r="F617" s="95" t="s">
        <v>1324</v>
      </c>
      <c r="G617" s="95" t="s">
        <v>1325</v>
      </c>
      <c r="H617" s="93" t="s">
        <v>81</v>
      </c>
      <c r="I617" s="96">
        <f>IF(H617="ILF",IF($C$1="预估功能点",'模板使用说明&amp;基础参数'!$E$15,7),IF(H617="EIF",IF($C$1="预估功能点",'模板使用说明&amp;基础参数'!$E$16,5),IF(H617="EI",IF($C$1="预估功能点",'模板使用说明&amp;基础参数'!$E$17,'模板使用说明&amp;基础参数'!$E$24),IF(H617="EO",IF($C$1="预估功能点",'模板使用说明&amp;基础参数'!$E$18,'模板使用说明&amp;基础参数'!$E$25),IF(H617="EQ",IF($C$1="预估功能点",'模板使用说明&amp;基础参数'!$E$19,'模板使用说明&amp;基础参数'!$E$26),"")))))</f>
        <v>4</v>
      </c>
      <c r="J617" s="97" t="s">
        <v>38</v>
      </c>
      <c r="K617" s="97" t="s">
        <v>78</v>
      </c>
      <c r="L617" s="98">
        <f>IF(I617="","",IF(J617="高",IF(K617="删除",I617*'模板使用说明&amp;基础参数'!$E$5*'模板使用说明&amp;基础参数'!$E$12,IF(K617="修改",I617*'模板使用说明&amp;基础参数'!$E$5*'模板使用说明&amp;基础参数'!$E$11,I617*'模板使用说明&amp;基础参数'!$E$5*'模板使用说明&amp;基础参数'!$E$10)),IF(J617="中",IF(K617="删除",I617*'模板使用说明&amp;基础参数'!$E$6*'模板使用说明&amp;基础参数'!$E$12,IF(K617="修改",I617*'模板使用说明&amp;基础参数'!$E$6*'模板使用说明&amp;基础参数'!$E$11,I617*'模板使用说明&amp;基础参数'!$E$6*'模板使用说明&amp;基础参数'!$E$10)),IF(K617="删除",I617*'模板使用说明&amp;基础参数'!$E$7*'模板使用说明&amp;基础参数'!$E$12,IF(K617="修改",I617*'模板使用说明&amp;基础参数'!$E$7*'模板使用说明&amp;基础参数'!$E$11,I617*'模板使用说明&amp;基础参数'!$E$7*'模板使用说明&amp;基础参数'!$E$10)))))</f>
        <v>1.06666666666667</v>
      </c>
      <c r="M617" s="95"/>
      <c r="N617" s="99"/>
      <c r="O617" s="100"/>
    </row>
    <row r="618" s="70" customFormat="1" ht="25" customHeight="1" spans="1:15">
      <c r="A618" s="93">
        <v>613</v>
      </c>
      <c r="B618" s="94" t="s">
        <v>72</v>
      </c>
      <c r="C618" s="95" t="s">
        <v>276</v>
      </c>
      <c r="D618" s="95" t="s">
        <v>277</v>
      </c>
      <c r="E618" s="95" t="s">
        <v>277</v>
      </c>
      <c r="F618" s="95" t="s">
        <v>1326</v>
      </c>
      <c r="G618" s="95" t="s">
        <v>1327</v>
      </c>
      <c r="H618" s="93" t="s">
        <v>84</v>
      </c>
      <c r="I618" s="96">
        <f>IF(H618="ILF",IF($C$1="预估功能点",'模板使用说明&amp;基础参数'!$E$15,7),IF(H618="EIF",IF($C$1="预估功能点",'模板使用说明&amp;基础参数'!$E$16,5),IF(H618="EI",IF($C$1="预估功能点",'模板使用说明&amp;基础参数'!$E$17,'模板使用说明&amp;基础参数'!$E$24),IF(H618="EO",IF($C$1="预估功能点",'模板使用说明&amp;基础参数'!$E$18,'模板使用说明&amp;基础参数'!$E$25),IF(H618="EQ",IF($C$1="预估功能点",'模板使用说明&amp;基础参数'!$E$19,'模板使用说明&amp;基础参数'!$E$26),"")))))</f>
        <v>4</v>
      </c>
      <c r="J618" s="97" t="s">
        <v>38</v>
      </c>
      <c r="K618" s="97" t="s">
        <v>78</v>
      </c>
      <c r="L618" s="98">
        <f>IF(I618="","",IF(J618="高",IF(K618="删除",I618*'模板使用说明&amp;基础参数'!$E$5*'模板使用说明&amp;基础参数'!$E$12,IF(K618="修改",I618*'模板使用说明&amp;基础参数'!$E$5*'模板使用说明&amp;基础参数'!$E$11,I618*'模板使用说明&amp;基础参数'!$E$5*'模板使用说明&amp;基础参数'!$E$10)),IF(J618="中",IF(K618="删除",I618*'模板使用说明&amp;基础参数'!$E$6*'模板使用说明&amp;基础参数'!$E$12,IF(K618="修改",I618*'模板使用说明&amp;基础参数'!$E$6*'模板使用说明&amp;基础参数'!$E$11,I618*'模板使用说明&amp;基础参数'!$E$6*'模板使用说明&amp;基础参数'!$E$10)),IF(K618="删除",I618*'模板使用说明&amp;基础参数'!$E$7*'模板使用说明&amp;基础参数'!$E$12,IF(K618="修改",I618*'模板使用说明&amp;基础参数'!$E$7*'模板使用说明&amp;基础参数'!$E$11,I618*'模板使用说明&amp;基础参数'!$E$7*'模板使用说明&amp;基础参数'!$E$10)))))</f>
        <v>1.06666666666667</v>
      </c>
      <c r="M618" s="95"/>
      <c r="N618" s="99"/>
      <c r="O618" s="100"/>
    </row>
    <row r="619" s="70" customFormat="1" ht="25" customHeight="1" spans="1:15">
      <c r="A619" s="93">
        <v>614</v>
      </c>
      <c r="B619" s="94" t="s">
        <v>72</v>
      </c>
      <c r="C619" s="95" t="s">
        <v>276</v>
      </c>
      <c r="D619" s="95" t="s">
        <v>277</v>
      </c>
      <c r="E619" s="95" t="s">
        <v>277</v>
      </c>
      <c r="F619" s="95" t="s">
        <v>1328</v>
      </c>
      <c r="G619" s="95" t="s">
        <v>1329</v>
      </c>
      <c r="H619" s="93" t="s">
        <v>84</v>
      </c>
      <c r="I619" s="96">
        <f>IF(H619="ILF",IF($C$1="预估功能点",'模板使用说明&amp;基础参数'!$E$15,7),IF(H619="EIF",IF($C$1="预估功能点",'模板使用说明&amp;基础参数'!$E$16,5),IF(H619="EI",IF($C$1="预估功能点",'模板使用说明&amp;基础参数'!$E$17,'模板使用说明&amp;基础参数'!$E$24),IF(H619="EO",IF($C$1="预估功能点",'模板使用说明&amp;基础参数'!$E$18,'模板使用说明&amp;基础参数'!$E$25),IF(H619="EQ",IF($C$1="预估功能点",'模板使用说明&amp;基础参数'!$E$19,'模板使用说明&amp;基础参数'!$E$26),"")))))</f>
        <v>4</v>
      </c>
      <c r="J619" s="97" t="s">
        <v>38</v>
      </c>
      <c r="K619" s="97" t="s">
        <v>78</v>
      </c>
      <c r="L619" s="98">
        <f>IF(I619="","",IF(J619="高",IF(K619="删除",I619*'模板使用说明&amp;基础参数'!$E$5*'模板使用说明&amp;基础参数'!$E$12,IF(K619="修改",I619*'模板使用说明&amp;基础参数'!$E$5*'模板使用说明&amp;基础参数'!$E$11,I619*'模板使用说明&amp;基础参数'!$E$5*'模板使用说明&amp;基础参数'!$E$10)),IF(J619="中",IF(K619="删除",I619*'模板使用说明&amp;基础参数'!$E$6*'模板使用说明&amp;基础参数'!$E$12,IF(K619="修改",I619*'模板使用说明&amp;基础参数'!$E$6*'模板使用说明&amp;基础参数'!$E$11,I619*'模板使用说明&amp;基础参数'!$E$6*'模板使用说明&amp;基础参数'!$E$10)),IF(K619="删除",I619*'模板使用说明&amp;基础参数'!$E$7*'模板使用说明&amp;基础参数'!$E$12,IF(K619="修改",I619*'模板使用说明&amp;基础参数'!$E$7*'模板使用说明&amp;基础参数'!$E$11,I619*'模板使用说明&amp;基础参数'!$E$7*'模板使用说明&amp;基础参数'!$E$10)))))</f>
        <v>1.06666666666667</v>
      </c>
      <c r="M619" s="95"/>
      <c r="N619" s="99"/>
      <c r="O619" s="100"/>
    </row>
    <row r="620" s="70" customFormat="1" ht="25" customHeight="1" spans="1:15">
      <c r="A620" s="93">
        <v>615</v>
      </c>
      <c r="B620" s="94" t="s">
        <v>72</v>
      </c>
      <c r="C620" s="95" t="s">
        <v>276</v>
      </c>
      <c r="D620" s="95" t="s">
        <v>277</v>
      </c>
      <c r="E620" s="95" t="s">
        <v>277</v>
      </c>
      <c r="F620" s="95" t="s">
        <v>1330</v>
      </c>
      <c r="G620" s="95" t="s">
        <v>1331</v>
      </c>
      <c r="H620" s="93" t="s">
        <v>84</v>
      </c>
      <c r="I620" s="96">
        <f>IF(H620="ILF",IF($C$1="预估功能点",'模板使用说明&amp;基础参数'!$E$15,7),IF(H620="EIF",IF($C$1="预估功能点",'模板使用说明&amp;基础参数'!$E$16,5),IF(H620="EI",IF($C$1="预估功能点",'模板使用说明&amp;基础参数'!$E$17,'模板使用说明&amp;基础参数'!$E$24),IF(H620="EO",IF($C$1="预估功能点",'模板使用说明&amp;基础参数'!$E$18,'模板使用说明&amp;基础参数'!$E$25),IF(H620="EQ",IF($C$1="预估功能点",'模板使用说明&amp;基础参数'!$E$19,'模板使用说明&amp;基础参数'!$E$26),"")))))</f>
        <v>4</v>
      </c>
      <c r="J620" s="97" t="s">
        <v>38</v>
      </c>
      <c r="K620" s="97" t="s">
        <v>78</v>
      </c>
      <c r="L620" s="98">
        <f>IF(I620="","",IF(J620="高",IF(K620="删除",I620*'模板使用说明&amp;基础参数'!$E$5*'模板使用说明&amp;基础参数'!$E$12,IF(K620="修改",I620*'模板使用说明&amp;基础参数'!$E$5*'模板使用说明&amp;基础参数'!$E$11,I620*'模板使用说明&amp;基础参数'!$E$5*'模板使用说明&amp;基础参数'!$E$10)),IF(J620="中",IF(K620="删除",I620*'模板使用说明&amp;基础参数'!$E$6*'模板使用说明&amp;基础参数'!$E$12,IF(K620="修改",I620*'模板使用说明&amp;基础参数'!$E$6*'模板使用说明&amp;基础参数'!$E$11,I620*'模板使用说明&amp;基础参数'!$E$6*'模板使用说明&amp;基础参数'!$E$10)),IF(K620="删除",I620*'模板使用说明&amp;基础参数'!$E$7*'模板使用说明&amp;基础参数'!$E$12,IF(K620="修改",I620*'模板使用说明&amp;基础参数'!$E$7*'模板使用说明&amp;基础参数'!$E$11,I620*'模板使用说明&amp;基础参数'!$E$7*'模板使用说明&amp;基础参数'!$E$10)))))</f>
        <v>1.06666666666667</v>
      </c>
      <c r="M620" s="95"/>
      <c r="N620" s="99"/>
      <c r="O620" s="100"/>
    </row>
    <row r="621" s="70" customFormat="1" ht="25" customHeight="1" spans="1:15">
      <c r="A621" s="93">
        <v>616</v>
      </c>
      <c r="B621" s="94" t="s">
        <v>72</v>
      </c>
      <c r="C621" s="95" t="s">
        <v>276</v>
      </c>
      <c r="D621" s="95" t="s">
        <v>277</v>
      </c>
      <c r="E621" s="95" t="s">
        <v>277</v>
      </c>
      <c r="F621" s="95" t="s">
        <v>1332</v>
      </c>
      <c r="G621" s="95" t="s">
        <v>1333</v>
      </c>
      <c r="H621" s="93" t="s">
        <v>77</v>
      </c>
      <c r="I621" s="96">
        <f>IF(H621="ILF",IF($C$1="预估功能点",'模板使用说明&amp;基础参数'!$E$15,7),IF(H621="EIF",IF($C$1="预估功能点",'模板使用说明&amp;基础参数'!$E$16,5),IF(H621="EI",IF($C$1="预估功能点",'模板使用说明&amp;基础参数'!$E$17,'模板使用说明&amp;基础参数'!$E$24),IF(H621="EO",IF($C$1="预估功能点",'模板使用说明&amp;基础参数'!$E$18,'模板使用说明&amp;基础参数'!$E$25),IF(H621="EQ",IF($C$1="预估功能点",'模板使用说明&amp;基础参数'!$E$19,'模板使用说明&amp;基础参数'!$E$26),"")))))</f>
        <v>7</v>
      </c>
      <c r="J621" s="97" t="s">
        <v>38</v>
      </c>
      <c r="K621" s="97" t="s">
        <v>78</v>
      </c>
      <c r="L621" s="98">
        <f>IF(I621="","",IF(J621="高",IF(K621="删除",I621*'模板使用说明&amp;基础参数'!$E$5*'模板使用说明&amp;基础参数'!$E$12,IF(K621="修改",I621*'模板使用说明&amp;基础参数'!$E$5*'模板使用说明&amp;基础参数'!$E$11,I621*'模板使用说明&amp;基础参数'!$E$5*'模板使用说明&amp;基础参数'!$E$10)),IF(J621="中",IF(K621="删除",I621*'模板使用说明&amp;基础参数'!$E$6*'模板使用说明&amp;基础参数'!$E$12,IF(K621="修改",I621*'模板使用说明&amp;基础参数'!$E$6*'模板使用说明&amp;基础参数'!$E$11,I621*'模板使用说明&amp;基础参数'!$E$6*'模板使用说明&amp;基础参数'!$E$10)),IF(K621="删除",I621*'模板使用说明&amp;基础参数'!$E$7*'模板使用说明&amp;基础参数'!$E$12,IF(K621="修改",I621*'模板使用说明&amp;基础参数'!$E$7*'模板使用说明&amp;基础参数'!$E$11,I621*'模板使用说明&amp;基础参数'!$E$7*'模板使用说明&amp;基础参数'!$E$10)))))</f>
        <v>1.86666666666666</v>
      </c>
      <c r="M621" s="95"/>
      <c r="N621" s="99"/>
      <c r="O621" s="100"/>
    </row>
    <row r="622" s="70" customFormat="1" ht="25" customHeight="1" spans="1:15">
      <c r="A622" s="93">
        <v>617</v>
      </c>
      <c r="B622" s="94" t="s">
        <v>72</v>
      </c>
      <c r="C622" s="95" t="s">
        <v>276</v>
      </c>
      <c r="D622" s="95" t="s">
        <v>277</v>
      </c>
      <c r="E622" s="95" t="s">
        <v>277</v>
      </c>
      <c r="F622" s="95" t="s">
        <v>1334</v>
      </c>
      <c r="G622" s="95" t="s">
        <v>1335</v>
      </c>
      <c r="H622" s="93" t="s">
        <v>81</v>
      </c>
      <c r="I622" s="96">
        <f>IF(H622="ILF",IF($C$1="预估功能点",'模板使用说明&amp;基础参数'!$E$15,7),IF(H622="EIF",IF($C$1="预估功能点",'模板使用说明&amp;基础参数'!$E$16,5),IF(H622="EI",IF($C$1="预估功能点",'模板使用说明&amp;基础参数'!$E$17,'模板使用说明&amp;基础参数'!$E$24),IF(H622="EO",IF($C$1="预估功能点",'模板使用说明&amp;基础参数'!$E$18,'模板使用说明&amp;基础参数'!$E$25),IF(H622="EQ",IF($C$1="预估功能点",'模板使用说明&amp;基础参数'!$E$19,'模板使用说明&amp;基础参数'!$E$26),"")))))</f>
        <v>4</v>
      </c>
      <c r="J622" s="97" t="s">
        <v>38</v>
      </c>
      <c r="K622" s="97" t="s">
        <v>78</v>
      </c>
      <c r="L622" s="98">
        <f>IF(I622="","",IF(J622="高",IF(K622="删除",I622*'模板使用说明&amp;基础参数'!$E$5*'模板使用说明&amp;基础参数'!$E$12,IF(K622="修改",I622*'模板使用说明&amp;基础参数'!$E$5*'模板使用说明&amp;基础参数'!$E$11,I622*'模板使用说明&amp;基础参数'!$E$5*'模板使用说明&amp;基础参数'!$E$10)),IF(J622="中",IF(K622="删除",I622*'模板使用说明&amp;基础参数'!$E$6*'模板使用说明&amp;基础参数'!$E$12,IF(K622="修改",I622*'模板使用说明&amp;基础参数'!$E$6*'模板使用说明&amp;基础参数'!$E$11,I622*'模板使用说明&amp;基础参数'!$E$6*'模板使用说明&amp;基础参数'!$E$10)),IF(K622="删除",I622*'模板使用说明&amp;基础参数'!$E$7*'模板使用说明&amp;基础参数'!$E$12,IF(K622="修改",I622*'模板使用说明&amp;基础参数'!$E$7*'模板使用说明&amp;基础参数'!$E$11,I622*'模板使用说明&amp;基础参数'!$E$7*'模板使用说明&amp;基础参数'!$E$10)))))</f>
        <v>1.06666666666667</v>
      </c>
      <c r="M622" s="95"/>
      <c r="N622" s="99"/>
      <c r="O622" s="100"/>
    </row>
    <row r="623" s="70" customFormat="1" ht="25" customHeight="1" spans="1:15">
      <c r="A623" s="93">
        <v>618</v>
      </c>
      <c r="B623" s="94" t="s">
        <v>72</v>
      </c>
      <c r="C623" s="95" t="s">
        <v>276</v>
      </c>
      <c r="D623" s="95" t="s">
        <v>277</v>
      </c>
      <c r="E623" s="95" t="s">
        <v>277</v>
      </c>
      <c r="F623" s="95" t="s">
        <v>1336</v>
      </c>
      <c r="G623" s="95" t="s">
        <v>1337</v>
      </c>
      <c r="H623" s="93" t="s">
        <v>84</v>
      </c>
      <c r="I623" s="96">
        <f>IF(H623="ILF",IF($C$1="预估功能点",'模板使用说明&amp;基础参数'!$E$15,7),IF(H623="EIF",IF($C$1="预估功能点",'模板使用说明&amp;基础参数'!$E$16,5),IF(H623="EI",IF($C$1="预估功能点",'模板使用说明&amp;基础参数'!$E$17,'模板使用说明&amp;基础参数'!$E$24),IF(H623="EO",IF($C$1="预估功能点",'模板使用说明&amp;基础参数'!$E$18,'模板使用说明&amp;基础参数'!$E$25),IF(H623="EQ",IF($C$1="预估功能点",'模板使用说明&amp;基础参数'!$E$19,'模板使用说明&amp;基础参数'!$E$26),"")))))</f>
        <v>4</v>
      </c>
      <c r="J623" s="97" t="s">
        <v>38</v>
      </c>
      <c r="K623" s="97" t="s">
        <v>78</v>
      </c>
      <c r="L623" s="98">
        <f>IF(I623="","",IF(J623="高",IF(K623="删除",I623*'模板使用说明&amp;基础参数'!$E$5*'模板使用说明&amp;基础参数'!$E$12,IF(K623="修改",I623*'模板使用说明&amp;基础参数'!$E$5*'模板使用说明&amp;基础参数'!$E$11,I623*'模板使用说明&amp;基础参数'!$E$5*'模板使用说明&amp;基础参数'!$E$10)),IF(J623="中",IF(K623="删除",I623*'模板使用说明&amp;基础参数'!$E$6*'模板使用说明&amp;基础参数'!$E$12,IF(K623="修改",I623*'模板使用说明&amp;基础参数'!$E$6*'模板使用说明&amp;基础参数'!$E$11,I623*'模板使用说明&amp;基础参数'!$E$6*'模板使用说明&amp;基础参数'!$E$10)),IF(K623="删除",I623*'模板使用说明&amp;基础参数'!$E$7*'模板使用说明&amp;基础参数'!$E$12,IF(K623="修改",I623*'模板使用说明&amp;基础参数'!$E$7*'模板使用说明&amp;基础参数'!$E$11,I623*'模板使用说明&amp;基础参数'!$E$7*'模板使用说明&amp;基础参数'!$E$10)))))</f>
        <v>1.06666666666667</v>
      </c>
      <c r="M623" s="95"/>
      <c r="N623" s="99"/>
      <c r="O623" s="100"/>
    </row>
    <row r="624" s="70" customFormat="1" ht="25" customHeight="1" spans="1:15">
      <c r="A624" s="93">
        <v>619</v>
      </c>
      <c r="B624" s="94" t="s">
        <v>72</v>
      </c>
      <c r="C624" s="95" t="s">
        <v>276</v>
      </c>
      <c r="D624" s="95" t="s">
        <v>277</v>
      </c>
      <c r="E624" s="95" t="s">
        <v>277</v>
      </c>
      <c r="F624" s="95" t="s">
        <v>1338</v>
      </c>
      <c r="G624" s="95" t="s">
        <v>1339</v>
      </c>
      <c r="H624" s="93" t="s">
        <v>84</v>
      </c>
      <c r="I624" s="96">
        <f>IF(H624="ILF",IF($C$1="预估功能点",'模板使用说明&amp;基础参数'!$E$15,7),IF(H624="EIF",IF($C$1="预估功能点",'模板使用说明&amp;基础参数'!$E$16,5),IF(H624="EI",IF($C$1="预估功能点",'模板使用说明&amp;基础参数'!$E$17,'模板使用说明&amp;基础参数'!$E$24),IF(H624="EO",IF($C$1="预估功能点",'模板使用说明&amp;基础参数'!$E$18,'模板使用说明&amp;基础参数'!$E$25),IF(H624="EQ",IF($C$1="预估功能点",'模板使用说明&amp;基础参数'!$E$19,'模板使用说明&amp;基础参数'!$E$26),"")))))</f>
        <v>4</v>
      </c>
      <c r="J624" s="97" t="s">
        <v>38</v>
      </c>
      <c r="K624" s="97" t="s">
        <v>78</v>
      </c>
      <c r="L624" s="98">
        <f>IF(I624="","",IF(J624="高",IF(K624="删除",I624*'模板使用说明&amp;基础参数'!$E$5*'模板使用说明&amp;基础参数'!$E$12,IF(K624="修改",I624*'模板使用说明&amp;基础参数'!$E$5*'模板使用说明&amp;基础参数'!$E$11,I624*'模板使用说明&amp;基础参数'!$E$5*'模板使用说明&amp;基础参数'!$E$10)),IF(J624="中",IF(K624="删除",I624*'模板使用说明&amp;基础参数'!$E$6*'模板使用说明&amp;基础参数'!$E$12,IF(K624="修改",I624*'模板使用说明&amp;基础参数'!$E$6*'模板使用说明&amp;基础参数'!$E$11,I624*'模板使用说明&amp;基础参数'!$E$6*'模板使用说明&amp;基础参数'!$E$10)),IF(K624="删除",I624*'模板使用说明&amp;基础参数'!$E$7*'模板使用说明&amp;基础参数'!$E$12,IF(K624="修改",I624*'模板使用说明&amp;基础参数'!$E$7*'模板使用说明&amp;基础参数'!$E$11,I624*'模板使用说明&amp;基础参数'!$E$7*'模板使用说明&amp;基础参数'!$E$10)))))</f>
        <v>1.06666666666667</v>
      </c>
      <c r="M624" s="95"/>
      <c r="N624" s="99"/>
      <c r="O624" s="100"/>
    </row>
    <row r="625" s="70" customFormat="1" ht="25" customHeight="1" spans="1:15">
      <c r="A625" s="93">
        <v>620</v>
      </c>
      <c r="B625" s="94" t="s">
        <v>72</v>
      </c>
      <c r="C625" s="95" t="s">
        <v>276</v>
      </c>
      <c r="D625" s="95" t="s">
        <v>277</v>
      </c>
      <c r="E625" s="95" t="s">
        <v>277</v>
      </c>
      <c r="F625" s="95" t="s">
        <v>1340</v>
      </c>
      <c r="G625" s="95" t="s">
        <v>1341</v>
      </c>
      <c r="H625" s="93" t="s">
        <v>84</v>
      </c>
      <c r="I625" s="96">
        <f>IF(H625="ILF",IF($C$1="预估功能点",'模板使用说明&amp;基础参数'!$E$15,7),IF(H625="EIF",IF($C$1="预估功能点",'模板使用说明&amp;基础参数'!$E$16,5),IF(H625="EI",IF($C$1="预估功能点",'模板使用说明&amp;基础参数'!$E$17,'模板使用说明&amp;基础参数'!$E$24),IF(H625="EO",IF($C$1="预估功能点",'模板使用说明&amp;基础参数'!$E$18,'模板使用说明&amp;基础参数'!$E$25),IF(H625="EQ",IF($C$1="预估功能点",'模板使用说明&amp;基础参数'!$E$19,'模板使用说明&amp;基础参数'!$E$26),"")))))</f>
        <v>4</v>
      </c>
      <c r="J625" s="97" t="s">
        <v>38</v>
      </c>
      <c r="K625" s="97" t="s">
        <v>78</v>
      </c>
      <c r="L625" s="98">
        <f>IF(I625="","",IF(J625="高",IF(K625="删除",I625*'模板使用说明&amp;基础参数'!$E$5*'模板使用说明&amp;基础参数'!$E$12,IF(K625="修改",I625*'模板使用说明&amp;基础参数'!$E$5*'模板使用说明&amp;基础参数'!$E$11,I625*'模板使用说明&amp;基础参数'!$E$5*'模板使用说明&amp;基础参数'!$E$10)),IF(J625="中",IF(K625="删除",I625*'模板使用说明&amp;基础参数'!$E$6*'模板使用说明&amp;基础参数'!$E$12,IF(K625="修改",I625*'模板使用说明&amp;基础参数'!$E$6*'模板使用说明&amp;基础参数'!$E$11,I625*'模板使用说明&amp;基础参数'!$E$6*'模板使用说明&amp;基础参数'!$E$10)),IF(K625="删除",I625*'模板使用说明&amp;基础参数'!$E$7*'模板使用说明&amp;基础参数'!$E$12,IF(K625="修改",I625*'模板使用说明&amp;基础参数'!$E$7*'模板使用说明&amp;基础参数'!$E$11,I625*'模板使用说明&amp;基础参数'!$E$7*'模板使用说明&amp;基础参数'!$E$10)))))</f>
        <v>1.06666666666667</v>
      </c>
      <c r="M625" s="95"/>
      <c r="N625" s="99"/>
      <c r="O625" s="100"/>
    </row>
    <row r="626" s="70" customFormat="1" ht="25" customHeight="1" spans="1:15">
      <c r="A626" s="93">
        <v>621</v>
      </c>
      <c r="B626" s="94" t="s">
        <v>72</v>
      </c>
      <c r="C626" s="95" t="s">
        <v>276</v>
      </c>
      <c r="D626" s="95" t="s">
        <v>277</v>
      </c>
      <c r="E626" s="95" t="s">
        <v>277</v>
      </c>
      <c r="F626" s="95" t="s">
        <v>1342</v>
      </c>
      <c r="G626" s="95" t="s">
        <v>1343</v>
      </c>
      <c r="H626" s="93" t="s">
        <v>77</v>
      </c>
      <c r="I626" s="96">
        <f>IF(H626="ILF",IF($C$1="预估功能点",'模板使用说明&amp;基础参数'!$E$15,7),IF(H626="EIF",IF($C$1="预估功能点",'模板使用说明&amp;基础参数'!$E$16,5),IF(H626="EI",IF($C$1="预估功能点",'模板使用说明&amp;基础参数'!$E$17,'模板使用说明&amp;基础参数'!$E$24),IF(H626="EO",IF($C$1="预估功能点",'模板使用说明&amp;基础参数'!$E$18,'模板使用说明&amp;基础参数'!$E$25),IF(H626="EQ",IF($C$1="预估功能点",'模板使用说明&amp;基础参数'!$E$19,'模板使用说明&amp;基础参数'!$E$26),"")))))</f>
        <v>7</v>
      </c>
      <c r="J626" s="97" t="s">
        <v>38</v>
      </c>
      <c r="K626" s="97" t="s">
        <v>78</v>
      </c>
      <c r="L626" s="98">
        <f>IF(I626="","",IF(J626="高",IF(K626="删除",I626*'模板使用说明&amp;基础参数'!$E$5*'模板使用说明&amp;基础参数'!$E$12,IF(K626="修改",I626*'模板使用说明&amp;基础参数'!$E$5*'模板使用说明&amp;基础参数'!$E$11,I626*'模板使用说明&amp;基础参数'!$E$5*'模板使用说明&amp;基础参数'!$E$10)),IF(J626="中",IF(K626="删除",I626*'模板使用说明&amp;基础参数'!$E$6*'模板使用说明&amp;基础参数'!$E$12,IF(K626="修改",I626*'模板使用说明&amp;基础参数'!$E$6*'模板使用说明&amp;基础参数'!$E$11,I626*'模板使用说明&amp;基础参数'!$E$6*'模板使用说明&amp;基础参数'!$E$10)),IF(K626="删除",I626*'模板使用说明&amp;基础参数'!$E$7*'模板使用说明&amp;基础参数'!$E$12,IF(K626="修改",I626*'模板使用说明&amp;基础参数'!$E$7*'模板使用说明&amp;基础参数'!$E$11,I626*'模板使用说明&amp;基础参数'!$E$7*'模板使用说明&amp;基础参数'!$E$10)))))</f>
        <v>1.86666666666666</v>
      </c>
      <c r="M626" s="95"/>
      <c r="N626" s="99"/>
      <c r="O626" s="100"/>
    </row>
    <row r="627" s="70" customFormat="1" ht="25" customHeight="1" spans="1:15">
      <c r="A627" s="93">
        <v>622</v>
      </c>
      <c r="B627" s="94" t="s">
        <v>72</v>
      </c>
      <c r="C627" s="95" t="s">
        <v>276</v>
      </c>
      <c r="D627" s="95" t="s">
        <v>277</v>
      </c>
      <c r="E627" s="95" t="s">
        <v>277</v>
      </c>
      <c r="F627" s="95" t="s">
        <v>1344</v>
      </c>
      <c r="G627" s="95" t="s">
        <v>1345</v>
      </c>
      <c r="H627" s="93" t="s">
        <v>81</v>
      </c>
      <c r="I627" s="96">
        <f>IF(H627="ILF",IF($C$1="预估功能点",'模板使用说明&amp;基础参数'!$E$15,7),IF(H627="EIF",IF($C$1="预估功能点",'模板使用说明&amp;基础参数'!$E$16,5),IF(H627="EI",IF($C$1="预估功能点",'模板使用说明&amp;基础参数'!$E$17,'模板使用说明&amp;基础参数'!$E$24),IF(H627="EO",IF($C$1="预估功能点",'模板使用说明&amp;基础参数'!$E$18,'模板使用说明&amp;基础参数'!$E$25),IF(H627="EQ",IF($C$1="预估功能点",'模板使用说明&amp;基础参数'!$E$19,'模板使用说明&amp;基础参数'!$E$26),"")))))</f>
        <v>4</v>
      </c>
      <c r="J627" s="97" t="s">
        <v>38</v>
      </c>
      <c r="K627" s="97" t="s">
        <v>78</v>
      </c>
      <c r="L627" s="98">
        <f>IF(I627="","",IF(J627="高",IF(K627="删除",I627*'模板使用说明&amp;基础参数'!$E$5*'模板使用说明&amp;基础参数'!$E$12,IF(K627="修改",I627*'模板使用说明&amp;基础参数'!$E$5*'模板使用说明&amp;基础参数'!$E$11,I627*'模板使用说明&amp;基础参数'!$E$5*'模板使用说明&amp;基础参数'!$E$10)),IF(J627="中",IF(K627="删除",I627*'模板使用说明&amp;基础参数'!$E$6*'模板使用说明&amp;基础参数'!$E$12,IF(K627="修改",I627*'模板使用说明&amp;基础参数'!$E$6*'模板使用说明&amp;基础参数'!$E$11,I627*'模板使用说明&amp;基础参数'!$E$6*'模板使用说明&amp;基础参数'!$E$10)),IF(K627="删除",I627*'模板使用说明&amp;基础参数'!$E$7*'模板使用说明&amp;基础参数'!$E$12,IF(K627="修改",I627*'模板使用说明&amp;基础参数'!$E$7*'模板使用说明&amp;基础参数'!$E$11,I627*'模板使用说明&amp;基础参数'!$E$7*'模板使用说明&amp;基础参数'!$E$10)))))</f>
        <v>1.06666666666667</v>
      </c>
      <c r="M627" s="95"/>
      <c r="N627" s="99"/>
      <c r="O627" s="100"/>
    </row>
    <row r="628" s="70" customFormat="1" ht="25" customHeight="1" spans="1:15">
      <c r="A628" s="93">
        <v>623</v>
      </c>
      <c r="B628" s="94" t="s">
        <v>72</v>
      </c>
      <c r="C628" s="95" t="s">
        <v>276</v>
      </c>
      <c r="D628" s="95" t="s">
        <v>277</v>
      </c>
      <c r="E628" s="95" t="s">
        <v>277</v>
      </c>
      <c r="F628" s="95" t="s">
        <v>1346</v>
      </c>
      <c r="G628" s="95" t="s">
        <v>1347</v>
      </c>
      <c r="H628" s="93" t="s">
        <v>84</v>
      </c>
      <c r="I628" s="96">
        <f>IF(H628="ILF",IF($C$1="预估功能点",'模板使用说明&amp;基础参数'!$E$15,7),IF(H628="EIF",IF($C$1="预估功能点",'模板使用说明&amp;基础参数'!$E$16,5),IF(H628="EI",IF($C$1="预估功能点",'模板使用说明&amp;基础参数'!$E$17,'模板使用说明&amp;基础参数'!$E$24),IF(H628="EO",IF($C$1="预估功能点",'模板使用说明&amp;基础参数'!$E$18,'模板使用说明&amp;基础参数'!$E$25),IF(H628="EQ",IF($C$1="预估功能点",'模板使用说明&amp;基础参数'!$E$19,'模板使用说明&amp;基础参数'!$E$26),"")))))</f>
        <v>4</v>
      </c>
      <c r="J628" s="97" t="s">
        <v>38</v>
      </c>
      <c r="K628" s="97" t="s">
        <v>78</v>
      </c>
      <c r="L628" s="98">
        <f>IF(I628="","",IF(J628="高",IF(K628="删除",I628*'模板使用说明&amp;基础参数'!$E$5*'模板使用说明&amp;基础参数'!$E$12,IF(K628="修改",I628*'模板使用说明&amp;基础参数'!$E$5*'模板使用说明&amp;基础参数'!$E$11,I628*'模板使用说明&amp;基础参数'!$E$5*'模板使用说明&amp;基础参数'!$E$10)),IF(J628="中",IF(K628="删除",I628*'模板使用说明&amp;基础参数'!$E$6*'模板使用说明&amp;基础参数'!$E$12,IF(K628="修改",I628*'模板使用说明&amp;基础参数'!$E$6*'模板使用说明&amp;基础参数'!$E$11,I628*'模板使用说明&amp;基础参数'!$E$6*'模板使用说明&amp;基础参数'!$E$10)),IF(K628="删除",I628*'模板使用说明&amp;基础参数'!$E$7*'模板使用说明&amp;基础参数'!$E$12,IF(K628="修改",I628*'模板使用说明&amp;基础参数'!$E$7*'模板使用说明&amp;基础参数'!$E$11,I628*'模板使用说明&amp;基础参数'!$E$7*'模板使用说明&amp;基础参数'!$E$10)))))</f>
        <v>1.06666666666667</v>
      </c>
      <c r="M628" s="95"/>
      <c r="N628" s="99"/>
      <c r="O628" s="100"/>
    </row>
    <row r="629" s="70" customFormat="1" ht="25" customHeight="1" spans="1:15">
      <c r="A629" s="93">
        <v>624</v>
      </c>
      <c r="B629" s="94" t="s">
        <v>72</v>
      </c>
      <c r="C629" s="95" t="s">
        <v>276</v>
      </c>
      <c r="D629" s="95" t="s">
        <v>277</v>
      </c>
      <c r="E629" s="95" t="s">
        <v>277</v>
      </c>
      <c r="F629" s="95" t="s">
        <v>1348</v>
      </c>
      <c r="G629" s="95" t="s">
        <v>1349</v>
      </c>
      <c r="H629" s="93" t="s">
        <v>84</v>
      </c>
      <c r="I629" s="96">
        <f>IF(H629="ILF",IF($C$1="预估功能点",'模板使用说明&amp;基础参数'!$E$15,7),IF(H629="EIF",IF($C$1="预估功能点",'模板使用说明&amp;基础参数'!$E$16,5),IF(H629="EI",IF($C$1="预估功能点",'模板使用说明&amp;基础参数'!$E$17,'模板使用说明&amp;基础参数'!$E$24),IF(H629="EO",IF($C$1="预估功能点",'模板使用说明&amp;基础参数'!$E$18,'模板使用说明&amp;基础参数'!$E$25),IF(H629="EQ",IF($C$1="预估功能点",'模板使用说明&amp;基础参数'!$E$19,'模板使用说明&amp;基础参数'!$E$26),"")))))</f>
        <v>4</v>
      </c>
      <c r="J629" s="97" t="s">
        <v>38</v>
      </c>
      <c r="K629" s="97" t="s">
        <v>78</v>
      </c>
      <c r="L629" s="98">
        <f>IF(I629="","",IF(J629="高",IF(K629="删除",I629*'模板使用说明&amp;基础参数'!$E$5*'模板使用说明&amp;基础参数'!$E$12,IF(K629="修改",I629*'模板使用说明&amp;基础参数'!$E$5*'模板使用说明&amp;基础参数'!$E$11,I629*'模板使用说明&amp;基础参数'!$E$5*'模板使用说明&amp;基础参数'!$E$10)),IF(J629="中",IF(K629="删除",I629*'模板使用说明&amp;基础参数'!$E$6*'模板使用说明&amp;基础参数'!$E$12,IF(K629="修改",I629*'模板使用说明&amp;基础参数'!$E$6*'模板使用说明&amp;基础参数'!$E$11,I629*'模板使用说明&amp;基础参数'!$E$6*'模板使用说明&amp;基础参数'!$E$10)),IF(K629="删除",I629*'模板使用说明&amp;基础参数'!$E$7*'模板使用说明&amp;基础参数'!$E$12,IF(K629="修改",I629*'模板使用说明&amp;基础参数'!$E$7*'模板使用说明&amp;基础参数'!$E$11,I629*'模板使用说明&amp;基础参数'!$E$7*'模板使用说明&amp;基础参数'!$E$10)))))</f>
        <v>1.06666666666667</v>
      </c>
      <c r="M629" s="95"/>
      <c r="N629" s="99"/>
      <c r="O629" s="100"/>
    </row>
    <row r="630" s="70" customFormat="1" ht="25" customHeight="1" spans="1:15">
      <c r="A630" s="93">
        <v>625</v>
      </c>
      <c r="B630" s="94" t="s">
        <v>72</v>
      </c>
      <c r="C630" s="95" t="s">
        <v>276</v>
      </c>
      <c r="D630" s="95" t="s">
        <v>277</v>
      </c>
      <c r="E630" s="95" t="s">
        <v>277</v>
      </c>
      <c r="F630" s="95" t="s">
        <v>1350</v>
      </c>
      <c r="G630" s="95" t="s">
        <v>1351</v>
      </c>
      <c r="H630" s="93" t="s">
        <v>84</v>
      </c>
      <c r="I630" s="96">
        <f>IF(H630="ILF",IF($C$1="预估功能点",'模板使用说明&amp;基础参数'!$E$15,7),IF(H630="EIF",IF($C$1="预估功能点",'模板使用说明&amp;基础参数'!$E$16,5),IF(H630="EI",IF($C$1="预估功能点",'模板使用说明&amp;基础参数'!$E$17,'模板使用说明&amp;基础参数'!$E$24),IF(H630="EO",IF($C$1="预估功能点",'模板使用说明&amp;基础参数'!$E$18,'模板使用说明&amp;基础参数'!$E$25),IF(H630="EQ",IF($C$1="预估功能点",'模板使用说明&amp;基础参数'!$E$19,'模板使用说明&amp;基础参数'!$E$26),"")))))</f>
        <v>4</v>
      </c>
      <c r="J630" s="97" t="s">
        <v>38</v>
      </c>
      <c r="K630" s="97" t="s">
        <v>78</v>
      </c>
      <c r="L630" s="98">
        <f>IF(I630="","",IF(J630="高",IF(K630="删除",I630*'模板使用说明&amp;基础参数'!$E$5*'模板使用说明&amp;基础参数'!$E$12,IF(K630="修改",I630*'模板使用说明&amp;基础参数'!$E$5*'模板使用说明&amp;基础参数'!$E$11,I630*'模板使用说明&amp;基础参数'!$E$5*'模板使用说明&amp;基础参数'!$E$10)),IF(J630="中",IF(K630="删除",I630*'模板使用说明&amp;基础参数'!$E$6*'模板使用说明&amp;基础参数'!$E$12,IF(K630="修改",I630*'模板使用说明&amp;基础参数'!$E$6*'模板使用说明&amp;基础参数'!$E$11,I630*'模板使用说明&amp;基础参数'!$E$6*'模板使用说明&amp;基础参数'!$E$10)),IF(K630="删除",I630*'模板使用说明&amp;基础参数'!$E$7*'模板使用说明&amp;基础参数'!$E$12,IF(K630="修改",I630*'模板使用说明&amp;基础参数'!$E$7*'模板使用说明&amp;基础参数'!$E$11,I630*'模板使用说明&amp;基础参数'!$E$7*'模板使用说明&amp;基础参数'!$E$10)))))</f>
        <v>1.06666666666667</v>
      </c>
      <c r="M630" s="95"/>
      <c r="N630" s="99"/>
      <c r="O630" s="100"/>
    </row>
    <row r="631" s="70" customFormat="1" ht="25" customHeight="1" spans="1:15">
      <c r="A631" s="93">
        <v>626</v>
      </c>
      <c r="B631" s="94" t="s">
        <v>72</v>
      </c>
      <c r="C631" s="95" t="s">
        <v>276</v>
      </c>
      <c r="D631" s="95" t="s">
        <v>277</v>
      </c>
      <c r="E631" s="95" t="s">
        <v>277</v>
      </c>
      <c r="F631" s="95" t="s">
        <v>1352</v>
      </c>
      <c r="G631" s="95" t="s">
        <v>1353</v>
      </c>
      <c r="H631" s="93" t="s">
        <v>77</v>
      </c>
      <c r="I631" s="96">
        <f>IF(H631="ILF",IF($C$1="预估功能点",'模板使用说明&amp;基础参数'!$E$15,7),IF(H631="EIF",IF($C$1="预估功能点",'模板使用说明&amp;基础参数'!$E$16,5),IF(H631="EI",IF($C$1="预估功能点",'模板使用说明&amp;基础参数'!$E$17,'模板使用说明&amp;基础参数'!$E$24),IF(H631="EO",IF($C$1="预估功能点",'模板使用说明&amp;基础参数'!$E$18,'模板使用说明&amp;基础参数'!$E$25),IF(H631="EQ",IF($C$1="预估功能点",'模板使用说明&amp;基础参数'!$E$19,'模板使用说明&amp;基础参数'!$E$26),"")))))</f>
        <v>7</v>
      </c>
      <c r="J631" s="97" t="s">
        <v>38</v>
      </c>
      <c r="K631" s="97" t="s">
        <v>78</v>
      </c>
      <c r="L631" s="98">
        <f>IF(I631="","",IF(J631="高",IF(K631="删除",I631*'模板使用说明&amp;基础参数'!$E$5*'模板使用说明&amp;基础参数'!$E$12,IF(K631="修改",I631*'模板使用说明&amp;基础参数'!$E$5*'模板使用说明&amp;基础参数'!$E$11,I631*'模板使用说明&amp;基础参数'!$E$5*'模板使用说明&amp;基础参数'!$E$10)),IF(J631="中",IF(K631="删除",I631*'模板使用说明&amp;基础参数'!$E$6*'模板使用说明&amp;基础参数'!$E$12,IF(K631="修改",I631*'模板使用说明&amp;基础参数'!$E$6*'模板使用说明&amp;基础参数'!$E$11,I631*'模板使用说明&amp;基础参数'!$E$6*'模板使用说明&amp;基础参数'!$E$10)),IF(K631="删除",I631*'模板使用说明&amp;基础参数'!$E$7*'模板使用说明&amp;基础参数'!$E$12,IF(K631="修改",I631*'模板使用说明&amp;基础参数'!$E$7*'模板使用说明&amp;基础参数'!$E$11,I631*'模板使用说明&amp;基础参数'!$E$7*'模板使用说明&amp;基础参数'!$E$10)))))</f>
        <v>1.86666666666666</v>
      </c>
      <c r="M631" s="95"/>
      <c r="N631" s="99"/>
      <c r="O631" s="100"/>
    </row>
    <row r="632" s="70" customFormat="1" ht="25" customHeight="1" spans="1:15">
      <c r="A632" s="93">
        <v>627</v>
      </c>
      <c r="B632" s="94" t="s">
        <v>72</v>
      </c>
      <c r="C632" s="95" t="s">
        <v>276</v>
      </c>
      <c r="D632" s="95" t="s">
        <v>277</v>
      </c>
      <c r="E632" s="95" t="s">
        <v>277</v>
      </c>
      <c r="F632" s="95" t="s">
        <v>1354</v>
      </c>
      <c r="G632" s="95" t="s">
        <v>1355</v>
      </c>
      <c r="H632" s="93" t="s">
        <v>81</v>
      </c>
      <c r="I632" s="96">
        <f>IF(H632="ILF",IF($C$1="预估功能点",'模板使用说明&amp;基础参数'!$E$15,7),IF(H632="EIF",IF($C$1="预估功能点",'模板使用说明&amp;基础参数'!$E$16,5),IF(H632="EI",IF($C$1="预估功能点",'模板使用说明&amp;基础参数'!$E$17,'模板使用说明&amp;基础参数'!$E$24),IF(H632="EO",IF($C$1="预估功能点",'模板使用说明&amp;基础参数'!$E$18,'模板使用说明&amp;基础参数'!$E$25),IF(H632="EQ",IF($C$1="预估功能点",'模板使用说明&amp;基础参数'!$E$19,'模板使用说明&amp;基础参数'!$E$26),"")))))</f>
        <v>4</v>
      </c>
      <c r="J632" s="97" t="s">
        <v>38</v>
      </c>
      <c r="K632" s="97" t="s">
        <v>78</v>
      </c>
      <c r="L632" s="98">
        <f>IF(I632="","",IF(J632="高",IF(K632="删除",I632*'模板使用说明&amp;基础参数'!$E$5*'模板使用说明&amp;基础参数'!$E$12,IF(K632="修改",I632*'模板使用说明&amp;基础参数'!$E$5*'模板使用说明&amp;基础参数'!$E$11,I632*'模板使用说明&amp;基础参数'!$E$5*'模板使用说明&amp;基础参数'!$E$10)),IF(J632="中",IF(K632="删除",I632*'模板使用说明&amp;基础参数'!$E$6*'模板使用说明&amp;基础参数'!$E$12,IF(K632="修改",I632*'模板使用说明&amp;基础参数'!$E$6*'模板使用说明&amp;基础参数'!$E$11,I632*'模板使用说明&amp;基础参数'!$E$6*'模板使用说明&amp;基础参数'!$E$10)),IF(K632="删除",I632*'模板使用说明&amp;基础参数'!$E$7*'模板使用说明&amp;基础参数'!$E$12,IF(K632="修改",I632*'模板使用说明&amp;基础参数'!$E$7*'模板使用说明&amp;基础参数'!$E$11,I632*'模板使用说明&amp;基础参数'!$E$7*'模板使用说明&amp;基础参数'!$E$10)))))</f>
        <v>1.06666666666667</v>
      </c>
      <c r="M632" s="95"/>
      <c r="N632" s="99"/>
      <c r="O632" s="100"/>
    </row>
    <row r="633" s="70" customFormat="1" ht="25" customHeight="1" spans="1:15">
      <c r="A633" s="93">
        <v>628</v>
      </c>
      <c r="B633" s="94" t="s">
        <v>72</v>
      </c>
      <c r="C633" s="95" t="s">
        <v>276</v>
      </c>
      <c r="D633" s="95" t="s">
        <v>277</v>
      </c>
      <c r="E633" s="95" t="s">
        <v>277</v>
      </c>
      <c r="F633" s="95" t="s">
        <v>1356</v>
      </c>
      <c r="G633" s="95" t="s">
        <v>1357</v>
      </c>
      <c r="H633" s="93" t="s">
        <v>84</v>
      </c>
      <c r="I633" s="96">
        <f>IF(H633="ILF",IF($C$1="预估功能点",'模板使用说明&amp;基础参数'!$E$15,7),IF(H633="EIF",IF($C$1="预估功能点",'模板使用说明&amp;基础参数'!$E$16,5),IF(H633="EI",IF($C$1="预估功能点",'模板使用说明&amp;基础参数'!$E$17,'模板使用说明&amp;基础参数'!$E$24),IF(H633="EO",IF($C$1="预估功能点",'模板使用说明&amp;基础参数'!$E$18,'模板使用说明&amp;基础参数'!$E$25),IF(H633="EQ",IF($C$1="预估功能点",'模板使用说明&amp;基础参数'!$E$19,'模板使用说明&amp;基础参数'!$E$26),"")))))</f>
        <v>4</v>
      </c>
      <c r="J633" s="97" t="s">
        <v>38</v>
      </c>
      <c r="K633" s="97" t="s">
        <v>78</v>
      </c>
      <c r="L633" s="98">
        <f>IF(I633="","",IF(J633="高",IF(K633="删除",I633*'模板使用说明&amp;基础参数'!$E$5*'模板使用说明&amp;基础参数'!$E$12,IF(K633="修改",I633*'模板使用说明&amp;基础参数'!$E$5*'模板使用说明&amp;基础参数'!$E$11,I633*'模板使用说明&amp;基础参数'!$E$5*'模板使用说明&amp;基础参数'!$E$10)),IF(J633="中",IF(K633="删除",I633*'模板使用说明&amp;基础参数'!$E$6*'模板使用说明&amp;基础参数'!$E$12,IF(K633="修改",I633*'模板使用说明&amp;基础参数'!$E$6*'模板使用说明&amp;基础参数'!$E$11,I633*'模板使用说明&amp;基础参数'!$E$6*'模板使用说明&amp;基础参数'!$E$10)),IF(K633="删除",I633*'模板使用说明&amp;基础参数'!$E$7*'模板使用说明&amp;基础参数'!$E$12,IF(K633="修改",I633*'模板使用说明&amp;基础参数'!$E$7*'模板使用说明&amp;基础参数'!$E$11,I633*'模板使用说明&amp;基础参数'!$E$7*'模板使用说明&amp;基础参数'!$E$10)))))</f>
        <v>1.06666666666667</v>
      </c>
      <c r="M633" s="95"/>
      <c r="N633" s="99"/>
      <c r="O633" s="100"/>
    </row>
    <row r="634" s="70" customFormat="1" ht="25" customHeight="1" spans="1:15">
      <c r="A634" s="93">
        <v>629</v>
      </c>
      <c r="B634" s="94" t="s">
        <v>72</v>
      </c>
      <c r="C634" s="95" t="s">
        <v>276</v>
      </c>
      <c r="D634" s="95" t="s">
        <v>277</v>
      </c>
      <c r="E634" s="95" t="s">
        <v>277</v>
      </c>
      <c r="F634" s="95" t="s">
        <v>1358</v>
      </c>
      <c r="G634" s="95" t="s">
        <v>1359</v>
      </c>
      <c r="H634" s="93" t="s">
        <v>84</v>
      </c>
      <c r="I634" s="96">
        <f>IF(H634="ILF",IF($C$1="预估功能点",'模板使用说明&amp;基础参数'!$E$15,7),IF(H634="EIF",IF($C$1="预估功能点",'模板使用说明&amp;基础参数'!$E$16,5),IF(H634="EI",IF($C$1="预估功能点",'模板使用说明&amp;基础参数'!$E$17,'模板使用说明&amp;基础参数'!$E$24),IF(H634="EO",IF($C$1="预估功能点",'模板使用说明&amp;基础参数'!$E$18,'模板使用说明&amp;基础参数'!$E$25),IF(H634="EQ",IF($C$1="预估功能点",'模板使用说明&amp;基础参数'!$E$19,'模板使用说明&amp;基础参数'!$E$26),"")))))</f>
        <v>4</v>
      </c>
      <c r="J634" s="97" t="s">
        <v>38</v>
      </c>
      <c r="K634" s="97" t="s">
        <v>78</v>
      </c>
      <c r="L634" s="98">
        <f>IF(I634="","",IF(J634="高",IF(K634="删除",I634*'模板使用说明&amp;基础参数'!$E$5*'模板使用说明&amp;基础参数'!$E$12,IF(K634="修改",I634*'模板使用说明&amp;基础参数'!$E$5*'模板使用说明&amp;基础参数'!$E$11,I634*'模板使用说明&amp;基础参数'!$E$5*'模板使用说明&amp;基础参数'!$E$10)),IF(J634="中",IF(K634="删除",I634*'模板使用说明&amp;基础参数'!$E$6*'模板使用说明&amp;基础参数'!$E$12,IF(K634="修改",I634*'模板使用说明&amp;基础参数'!$E$6*'模板使用说明&amp;基础参数'!$E$11,I634*'模板使用说明&amp;基础参数'!$E$6*'模板使用说明&amp;基础参数'!$E$10)),IF(K634="删除",I634*'模板使用说明&amp;基础参数'!$E$7*'模板使用说明&amp;基础参数'!$E$12,IF(K634="修改",I634*'模板使用说明&amp;基础参数'!$E$7*'模板使用说明&amp;基础参数'!$E$11,I634*'模板使用说明&amp;基础参数'!$E$7*'模板使用说明&amp;基础参数'!$E$10)))))</f>
        <v>1.06666666666667</v>
      </c>
      <c r="M634" s="95"/>
      <c r="N634" s="99"/>
      <c r="O634" s="100"/>
    </row>
    <row r="635" s="70" customFormat="1" ht="25" customHeight="1" spans="1:15">
      <c r="A635" s="93">
        <v>630</v>
      </c>
      <c r="B635" s="94" t="s">
        <v>72</v>
      </c>
      <c r="C635" s="95" t="s">
        <v>276</v>
      </c>
      <c r="D635" s="95" t="s">
        <v>277</v>
      </c>
      <c r="E635" s="95" t="s">
        <v>277</v>
      </c>
      <c r="F635" s="95" t="s">
        <v>1360</v>
      </c>
      <c r="G635" s="95" t="s">
        <v>1361</v>
      </c>
      <c r="H635" s="93" t="s">
        <v>84</v>
      </c>
      <c r="I635" s="96">
        <f>IF(H635="ILF",IF($C$1="预估功能点",'模板使用说明&amp;基础参数'!$E$15,7),IF(H635="EIF",IF($C$1="预估功能点",'模板使用说明&amp;基础参数'!$E$16,5),IF(H635="EI",IF($C$1="预估功能点",'模板使用说明&amp;基础参数'!$E$17,'模板使用说明&amp;基础参数'!$E$24),IF(H635="EO",IF($C$1="预估功能点",'模板使用说明&amp;基础参数'!$E$18,'模板使用说明&amp;基础参数'!$E$25),IF(H635="EQ",IF($C$1="预估功能点",'模板使用说明&amp;基础参数'!$E$19,'模板使用说明&amp;基础参数'!$E$26),"")))))</f>
        <v>4</v>
      </c>
      <c r="J635" s="97" t="s">
        <v>38</v>
      </c>
      <c r="K635" s="97" t="s">
        <v>78</v>
      </c>
      <c r="L635" s="98">
        <f>IF(I635="","",IF(J635="高",IF(K635="删除",I635*'模板使用说明&amp;基础参数'!$E$5*'模板使用说明&amp;基础参数'!$E$12,IF(K635="修改",I635*'模板使用说明&amp;基础参数'!$E$5*'模板使用说明&amp;基础参数'!$E$11,I635*'模板使用说明&amp;基础参数'!$E$5*'模板使用说明&amp;基础参数'!$E$10)),IF(J635="中",IF(K635="删除",I635*'模板使用说明&amp;基础参数'!$E$6*'模板使用说明&amp;基础参数'!$E$12,IF(K635="修改",I635*'模板使用说明&amp;基础参数'!$E$6*'模板使用说明&amp;基础参数'!$E$11,I635*'模板使用说明&amp;基础参数'!$E$6*'模板使用说明&amp;基础参数'!$E$10)),IF(K635="删除",I635*'模板使用说明&amp;基础参数'!$E$7*'模板使用说明&amp;基础参数'!$E$12,IF(K635="修改",I635*'模板使用说明&amp;基础参数'!$E$7*'模板使用说明&amp;基础参数'!$E$11,I635*'模板使用说明&amp;基础参数'!$E$7*'模板使用说明&amp;基础参数'!$E$10)))))</f>
        <v>1.06666666666667</v>
      </c>
      <c r="M635" s="95"/>
      <c r="N635" s="99"/>
      <c r="O635" s="100"/>
    </row>
    <row r="636" s="70" customFormat="1" ht="25" customHeight="1" spans="1:15">
      <c r="A636" s="93">
        <v>631</v>
      </c>
      <c r="B636" s="94" t="s">
        <v>72</v>
      </c>
      <c r="C636" s="95" t="s">
        <v>276</v>
      </c>
      <c r="D636" s="95" t="s">
        <v>277</v>
      </c>
      <c r="E636" s="95" t="s">
        <v>277</v>
      </c>
      <c r="F636" s="95" t="s">
        <v>1362</v>
      </c>
      <c r="G636" s="95" t="s">
        <v>1363</v>
      </c>
      <c r="H636" s="93" t="s">
        <v>77</v>
      </c>
      <c r="I636" s="96">
        <f>IF(H636="ILF",IF($C$1="预估功能点",'模板使用说明&amp;基础参数'!$E$15,7),IF(H636="EIF",IF($C$1="预估功能点",'模板使用说明&amp;基础参数'!$E$16,5),IF(H636="EI",IF($C$1="预估功能点",'模板使用说明&amp;基础参数'!$E$17,'模板使用说明&amp;基础参数'!$E$24),IF(H636="EO",IF($C$1="预估功能点",'模板使用说明&amp;基础参数'!$E$18,'模板使用说明&amp;基础参数'!$E$25),IF(H636="EQ",IF($C$1="预估功能点",'模板使用说明&amp;基础参数'!$E$19,'模板使用说明&amp;基础参数'!$E$26),"")))))</f>
        <v>7</v>
      </c>
      <c r="J636" s="97" t="s">
        <v>38</v>
      </c>
      <c r="K636" s="97" t="s">
        <v>78</v>
      </c>
      <c r="L636" s="98">
        <f>IF(I636="","",IF(J636="高",IF(K636="删除",I636*'模板使用说明&amp;基础参数'!$E$5*'模板使用说明&amp;基础参数'!$E$12,IF(K636="修改",I636*'模板使用说明&amp;基础参数'!$E$5*'模板使用说明&amp;基础参数'!$E$11,I636*'模板使用说明&amp;基础参数'!$E$5*'模板使用说明&amp;基础参数'!$E$10)),IF(J636="中",IF(K636="删除",I636*'模板使用说明&amp;基础参数'!$E$6*'模板使用说明&amp;基础参数'!$E$12,IF(K636="修改",I636*'模板使用说明&amp;基础参数'!$E$6*'模板使用说明&amp;基础参数'!$E$11,I636*'模板使用说明&amp;基础参数'!$E$6*'模板使用说明&amp;基础参数'!$E$10)),IF(K636="删除",I636*'模板使用说明&amp;基础参数'!$E$7*'模板使用说明&amp;基础参数'!$E$12,IF(K636="修改",I636*'模板使用说明&amp;基础参数'!$E$7*'模板使用说明&amp;基础参数'!$E$11,I636*'模板使用说明&amp;基础参数'!$E$7*'模板使用说明&amp;基础参数'!$E$10)))))</f>
        <v>1.86666666666666</v>
      </c>
      <c r="M636" s="95"/>
      <c r="N636" s="99"/>
      <c r="O636" s="100"/>
    </row>
    <row r="637" s="70" customFormat="1" ht="25" customHeight="1" spans="1:15">
      <c r="A637" s="93">
        <v>632</v>
      </c>
      <c r="B637" s="94" t="s">
        <v>72</v>
      </c>
      <c r="C637" s="95" t="s">
        <v>276</v>
      </c>
      <c r="D637" s="95" t="s">
        <v>277</v>
      </c>
      <c r="E637" s="95" t="s">
        <v>277</v>
      </c>
      <c r="F637" s="95" t="s">
        <v>1364</v>
      </c>
      <c r="G637" s="95" t="s">
        <v>1365</v>
      </c>
      <c r="H637" s="93" t="s">
        <v>81</v>
      </c>
      <c r="I637" s="96">
        <f>IF(H637="ILF",IF($C$1="预估功能点",'模板使用说明&amp;基础参数'!$E$15,7),IF(H637="EIF",IF($C$1="预估功能点",'模板使用说明&amp;基础参数'!$E$16,5),IF(H637="EI",IF($C$1="预估功能点",'模板使用说明&amp;基础参数'!$E$17,'模板使用说明&amp;基础参数'!$E$24),IF(H637="EO",IF($C$1="预估功能点",'模板使用说明&amp;基础参数'!$E$18,'模板使用说明&amp;基础参数'!$E$25),IF(H637="EQ",IF($C$1="预估功能点",'模板使用说明&amp;基础参数'!$E$19,'模板使用说明&amp;基础参数'!$E$26),"")))))</f>
        <v>4</v>
      </c>
      <c r="J637" s="97" t="s">
        <v>38</v>
      </c>
      <c r="K637" s="97" t="s">
        <v>78</v>
      </c>
      <c r="L637" s="98">
        <f>IF(I637="","",IF(J637="高",IF(K637="删除",I637*'模板使用说明&amp;基础参数'!$E$5*'模板使用说明&amp;基础参数'!$E$12,IF(K637="修改",I637*'模板使用说明&amp;基础参数'!$E$5*'模板使用说明&amp;基础参数'!$E$11,I637*'模板使用说明&amp;基础参数'!$E$5*'模板使用说明&amp;基础参数'!$E$10)),IF(J637="中",IF(K637="删除",I637*'模板使用说明&amp;基础参数'!$E$6*'模板使用说明&amp;基础参数'!$E$12,IF(K637="修改",I637*'模板使用说明&amp;基础参数'!$E$6*'模板使用说明&amp;基础参数'!$E$11,I637*'模板使用说明&amp;基础参数'!$E$6*'模板使用说明&amp;基础参数'!$E$10)),IF(K637="删除",I637*'模板使用说明&amp;基础参数'!$E$7*'模板使用说明&amp;基础参数'!$E$12,IF(K637="修改",I637*'模板使用说明&amp;基础参数'!$E$7*'模板使用说明&amp;基础参数'!$E$11,I637*'模板使用说明&amp;基础参数'!$E$7*'模板使用说明&amp;基础参数'!$E$10)))))</f>
        <v>1.06666666666667</v>
      </c>
      <c r="M637" s="95"/>
      <c r="N637" s="99"/>
      <c r="O637" s="100"/>
    </row>
    <row r="638" s="70" customFormat="1" ht="25" customHeight="1" spans="1:15">
      <c r="A638" s="93">
        <v>633</v>
      </c>
      <c r="B638" s="94" t="s">
        <v>72</v>
      </c>
      <c r="C638" s="95" t="s">
        <v>276</v>
      </c>
      <c r="D638" s="95" t="s">
        <v>277</v>
      </c>
      <c r="E638" s="95" t="s">
        <v>277</v>
      </c>
      <c r="F638" s="95" t="s">
        <v>1366</v>
      </c>
      <c r="G638" s="95" t="s">
        <v>1367</v>
      </c>
      <c r="H638" s="93" t="s">
        <v>84</v>
      </c>
      <c r="I638" s="96">
        <f>IF(H638="ILF",IF($C$1="预估功能点",'模板使用说明&amp;基础参数'!$E$15,7),IF(H638="EIF",IF($C$1="预估功能点",'模板使用说明&amp;基础参数'!$E$16,5),IF(H638="EI",IF($C$1="预估功能点",'模板使用说明&amp;基础参数'!$E$17,'模板使用说明&amp;基础参数'!$E$24),IF(H638="EO",IF($C$1="预估功能点",'模板使用说明&amp;基础参数'!$E$18,'模板使用说明&amp;基础参数'!$E$25),IF(H638="EQ",IF($C$1="预估功能点",'模板使用说明&amp;基础参数'!$E$19,'模板使用说明&amp;基础参数'!$E$26),"")))))</f>
        <v>4</v>
      </c>
      <c r="J638" s="97" t="s">
        <v>38</v>
      </c>
      <c r="K638" s="97" t="s">
        <v>78</v>
      </c>
      <c r="L638" s="98">
        <f>IF(I638="","",IF(J638="高",IF(K638="删除",I638*'模板使用说明&amp;基础参数'!$E$5*'模板使用说明&amp;基础参数'!$E$12,IF(K638="修改",I638*'模板使用说明&amp;基础参数'!$E$5*'模板使用说明&amp;基础参数'!$E$11,I638*'模板使用说明&amp;基础参数'!$E$5*'模板使用说明&amp;基础参数'!$E$10)),IF(J638="中",IF(K638="删除",I638*'模板使用说明&amp;基础参数'!$E$6*'模板使用说明&amp;基础参数'!$E$12,IF(K638="修改",I638*'模板使用说明&amp;基础参数'!$E$6*'模板使用说明&amp;基础参数'!$E$11,I638*'模板使用说明&amp;基础参数'!$E$6*'模板使用说明&amp;基础参数'!$E$10)),IF(K638="删除",I638*'模板使用说明&amp;基础参数'!$E$7*'模板使用说明&amp;基础参数'!$E$12,IF(K638="修改",I638*'模板使用说明&amp;基础参数'!$E$7*'模板使用说明&amp;基础参数'!$E$11,I638*'模板使用说明&amp;基础参数'!$E$7*'模板使用说明&amp;基础参数'!$E$10)))))</f>
        <v>1.06666666666667</v>
      </c>
      <c r="M638" s="95"/>
      <c r="N638" s="99"/>
      <c r="O638" s="100"/>
    </row>
    <row r="639" s="70" customFormat="1" ht="25" customHeight="1" spans="1:15">
      <c r="A639" s="93">
        <v>634</v>
      </c>
      <c r="B639" s="94" t="s">
        <v>72</v>
      </c>
      <c r="C639" s="95" t="s">
        <v>276</v>
      </c>
      <c r="D639" s="95" t="s">
        <v>277</v>
      </c>
      <c r="E639" s="95" t="s">
        <v>277</v>
      </c>
      <c r="F639" s="95" t="s">
        <v>1368</v>
      </c>
      <c r="G639" s="95" t="s">
        <v>1369</v>
      </c>
      <c r="H639" s="93" t="s">
        <v>84</v>
      </c>
      <c r="I639" s="96">
        <f>IF(H639="ILF",IF($C$1="预估功能点",'模板使用说明&amp;基础参数'!$E$15,7),IF(H639="EIF",IF($C$1="预估功能点",'模板使用说明&amp;基础参数'!$E$16,5),IF(H639="EI",IF($C$1="预估功能点",'模板使用说明&amp;基础参数'!$E$17,'模板使用说明&amp;基础参数'!$E$24),IF(H639="EO",IF($C$1="预估功能点",'模板使用说明&amp;基础参数'!$E$18,'模板使用说明&amp;基础参数'!$E$25),IF(H639="EQ",IF($C$1="预估功能点",'模板使用说明&amp;基础参数'!$E$19,'模板使用说明&amp;基础参数'!$E$26),"")))))</f>
        <v>4</v>
      </c>
      <c r="J639" s="97" t="s">
        <v>38</v>
      </c>
      <c r="K639" s="97" t="s">
        <v>78</v>
      </c>
      <c r="L639" s="98">
        <f>IF(I639="","",IF(J639="高",IF(K639="删除",I639*'模板使用说明&amp;基础参数'!$E$5*'模板使用说明&amp;基础参数'!$E$12,IF(K639="修改",I639*'模板使用说明&amp;基础参数'!$E$5*'模板使用说明&amp;基础参数'!$E$11,I639*'模板使用说明&amp;基础参数'!$E$5*'模板使用说明&amp;基础参数'!$E$10)),IF(J639="中",IF(K639="删除",I639*'模板使用说明&amp;基础参数'!$E$6*'模板使用说明&amp;基础参数'!$E$12,IF(K639="修改",I639*'模板使用说明&amp;基础参数'!$E$6*'模板使用说明&amp;基础参数'!$E$11,I639*'模板使用说明&amp;基础参数'!$E$6*'模板使用说明&amp;基础参数'!$E$10)),IF(K639="删除",I639*'模板使用说明&amp;基础参数'!$E$7*'模板使用说明&amp;基础参数'!$E$12,IF(K639="修改",I639*'模板使用说明&amp;基础参数'!$E$7*'模板使用说明&amp;基础参数'!$E$11,I639*'模板使用说明&amp;基础参数'!$E$7*'模板使用说明&amp;基础参数'!$E$10)))))</f>
        <v>1.06666666666667</v>
      </c>
      <c r="M639" s="95"/>
      <c r="N639" s="99"/>
      <c r="O639" s="100"/>
    </row>
    <row r="640" s="70" customFormat="1" ht="25" customHeight="1" spans="1:15">
      <c r="A640" s="93">
        <v>635</v>
      </c>
      <c r="B640" s="94" t="s">
        <v>72</v>
      </c>
      <c r="C640" s="95" t="s">
        <v>276</v>
      </c>
      <c r="D640" s="95" t="s">
        <v>277</v>
      </c>
      <c r="E640" s="95" t="s">
        <v>277</v>
      </c>
      <c r="F640" s="95" t="s">
        <v>1370</v>
      </c>
      <c r="G640" s="95" t="s">
        <v>1371</v>
      </c>
      <c r="H640" s="93" t="s">
        <v>84</v>
      </c>
      <c r="I640" s="96">
        <f>IF(H640="ILF",IF($C$1="预估功能点",'模板使用说明&amp;基础参数'!$E$15,7),IF(H640="EIF",IF($C$1="预估功能点",'模板使用说明&amp;基础参数'!$E$16,5),IF(H640="EI",IF($C$1="预估功能点",'模板使用说明&amp;基础参数'!$E$17,'模板使用说明&amp;基础参数'!$E$24),IF(H640="EO",IF($C$1="预估功能点",'模板使用说明&amp;基础参数'!$E$18,'模板使用说明&amp;基础参数'!$E$25),IF(H640="EQ",IF($C$1="预估功能点",'模板使用说明&amp;基础参数'!$E$19,'模板使用说明&amp;基础参数'!$E$26),"")))))</f>
        <v>4</v>
      </c>
      <c r="J640" s="97" t="s">
        <v>38</v>
      </c>
      <c r="K640" s="97" t="s">
        <v>78</v>
      </c>
      <c r="L640" s="98">
        <f>IF(I640="","",IF(J640="高",IF(K640="删除",I640*'模板使用说明&amp;基础参数'!$E$5*'模板使用说明&amp;基础参数'!$E$12,IF(K640="修改",I640*'模板使用说明&amp;基础参数'!$E$5*'模板使用说明&amp;基础参数'!$E$11,I640*'模板使用说明&amp;基础参数'!$E$5*'模板使用说明&amp;基础参数'!$E$10)),IF(J640="中",IF(K640="删除",I640*'模板使用说明&amp;基础参数'!$E$6*'模板使用说明&amp;基础参数'!$E$12,IF(K640="修改",I640*'模板使用说明&amp;基础参数'!$E$6*'模板使用说明&amp;基础参数'!$E$11,I640*'模板使用说明&amp;基础参数'!$E$6*'模板使用说明&amp;基础参数'!$E$10)),IF(K640="删除",I640*'模板使用说明&amp;基础参数'!$E$7*'模板使用说明&amp;基础参数'!$E$12,IF(K640="修改",I640*'模板使用说明&amp;基础参数'!$E$7*'模板使用说明&amp;基础参数'!$E$11,I640*'模板使用说明&amp;基础参数'!$E$7*'模板使用说明&amp;基础参数'!$E$10)))))</f>
        <v>1.06666666666667</v>
      </c>
      <c r="M640" s="95"/>
      <c r="N640" s="99"/>
      <c r="O640" s="100"/>
    </row>
    <row r="641" s="70" customFormat="1" ht="25" customHeight="1" spans="1:15">
      <c r="A641" s="93">
        <v>636</v>
      </c>
      <c r="B641" s="94" t="s">
        <v>72</v>
      </c>
      <c r="C641" s="95" t="s">
        <v>276</v>
      </c>
      <c r="D641" s="95" t="s">
        <v>277</v>
      </c>
      <c r="E641" s="95" t="s">
        <v>277</v>
      </c>
      <c r="F641" s="95" t="s">
        <v>1372</v>
      </c>
      <c r="G641" s="95" t="s">
        <v>1373</v>
      </c>
      <c r="H641" s="93" t="s">
        <v>77</v>
      </c>
      <c r="I641" s="96">
        <f>IF(H641="ILF",IF($C$1="预估功能点",'模板使用说明&amp;基础参数'!$E$15,7),IF(H641="EIF",IF($C$1="预估功能点",'模板使用说明&amp;基础参数'!$E$16,5),IF(H641="EI",IF($C$1="预估功能点",'模板使用说明&amp;基础参数'!$E$17,'模板使用说明&amp;基础参数'!$E$24),IF(H641="EO",IF($C$1="预估功能点",'模板使用说明&amp;基础参数'!$E$18,'模板使用说明&amp;基础参数'!$E$25),IF(H641="EQ",IF($C$1="预估功能点",'模板使用说明&amp;基础参数'!$E$19,'模板使用说明&amp;基础参数'!$E$26),"")))))</f>
        <v>7</v>
      </c>
      <c r="J641" s="97" t="s">
        <v>38</v>
      </c>
      <c r="K641" s="97" t="s">
        <v>78</v>
      </c>
      <c r="L641" s="98">
        <f>IF(I641="","",IF(J641="高",IF(K641="删除",I641*'模板使用说明&amp;基础参数'!$E$5*'模板使用说明&amp;基础参数'!$E$12,IF(K641="修改",I641*'模板使用说明&amp;基础参数'!$E$5*'模板使用说明&amp;基础参数'!$E$11,I641*'模板使用说明&amp;基础参数'!$E$5*'模板使用说明&amp;基础参数'!$E$10)),IF(J641="中",IF(K641="删除",I641*'模板使用说明&amp;基础参数'!$E$6*'模板使用说明&amp;基础参数'!$E$12,IF(K641="修改",I641*'模板使用说明&amp;基础参数'!$E$6*'模板使用说明&amp;基础参数'!$E$11,I641*'模板使用说明&amp;基础参数'!$E$6*'模板使用说明&amp;基础参数'!$E$10)),IF(K641="删除",I641*'模板使用说明&amp;基础参数'!$E$7*'模板使用说明&amp;基础参数'!$E$12,IF(K641="修改",I641*'模板使用说明&amp;基础参数'!$E$7*'模板使用说明&amp;基础参数'!$E$11,I641*'模板使用说明&amp;基础参数'!$E$7*'模板使用说明&amp;基础参数'!$E$10)))))</f>
        <v>1.86666666666666</v>
      </c>
      <c r="M641" s="95"/>
      <c r="N641" s="99"/>
      <c r="O641" s="100"/>
    </row>
    <row r="642" s="70" customFormat="1" ht="25" customHeight="1" spans="1:15">
      <c r="A642" s="93">
        <v>637</v>
      </c>
      <c r="B642" s="94" t="s">
        <v>72</v>
      </c>
      <c r="C642" s="95" t="s">
        <v>276</v>
      </c>
      <c r="D642" s="95" t="s">
        <v>277</v>
      </c>
      <c r="E642" s="95" t="s">
        <v>277</v>
      </c>
      <c r="F642" s="95" t="s">
        <v>1374</v>
      </c>
      <c r="G642" s="95" t="s">
        <v>1375</v>
      </c>
      <c r="H642" s="93" t="s">
        <v>81</v>
      </c>
      <c r="I642" s="96">
        <f>IF(H642="ILF",IF($C$1="预估功能点",'模板使用说明&amp;基础参数'!$E$15,7),IF(H642="EIF",IF($C$1="预估功能点",'模板使用说明&amp;基础参数'!$E$16,5),IF(H642="EI",IF($C$1="预估功能点",'模板使用说明&amp;基础参数'!$E$17,'模板使用说明&amp;基础参数'!$E$24),IF(H642="EO",IF($C$1="预估功能点",'模板使用说明&amp;基础参数'!$E$18,'模板使用说明&amp;基础参数'!$E$25),IF(H642="EQ",IF($C$1="预估功能点",'模板使用说明&amp;基础参数'!$E$19,'模板使用说明&amp;基础参数'!$E$26),"")))))</f>
        <v>4</v>
      </c>
      <c r="J642" s="97" t="s">
        <v>38</v>
      </c>
      <c r="K642" s="97" t="s">
        <v>78</v>
      </c>
      <c r="L642" s="98">
        <f>IF(I642="","",IF(J642="高",IF(K642="删除",I642*'模板使用说明&amp;基础参数'!$E$5*'模板使用说明&amp;基础参数'!$E$12,IF(K642="修改",I642*'模板使用说明&amp;基础参数'!$E$5*'模板使用说明&amp;基础参数'!$E$11,I642*'模板使用说明&amp;基础参数'!$E$5*'模板使用说明&amp;基础参数'!$E$10)),IF(J642="中",IF(K642="删除",I642*'模板使用说明&amp;基础参数'!$E$6*'模板使用说明&amp;基础参数'!$E$12,IF(K642="修改",I642*'模板使用说明&amp;基础参数'!$E$6*'模板使用说明&amp;基础参数'!$E$11,I642*'模板使用说明&amp;基础参数'!$E$6*'模板使用说明&amp;基础参数'!$E$10)),IF(K642="删除",I642*'模板使用说明&amp;基础参数'!$E$7*'模板使用说明&amp;基础参数'!$E$12,IF(K642="修改",I642*'模板使用说明&amp;基础参数'!$E$7*'模板使用说明&amp;基础参数'!$E$11,I642*'模板使用说明&amp;基础参数'!$E$7*'模板使用说明&amp;基础参数'!$E$10)))))</f>
        <v>1.06666666666667</v>
      </c>
      <c r="M642" s="95"/>
      <c r="N642" s="99"/>
      <c r="O642" s="100"/>
    </row>
    <row r="643" s="70" customFormat="1" ht="25" customHeight="1" spans="1:15">
      <c r="A643" s="93">
        <v>638</v>
      </c>
      <c r="B643" s="94" t="s">
        <v>72</v>
      </c>
      <c r="C643" s="95" t="s">
        <v>276</v>
      </c>
      <c r="D643" s="95" t="s">
        <v>277</v>
      </c>
      <c r="E643" s="95" t="s">
        <v>277</v>
      </c>
      <c r="F643" s="95" t="s">
        <v>1376</v>
      </c>
      <c r="G643" s="95" t="s">
        <v>1377</v>
      </c>
      <c r="H643" s="93" t="s">
        <v>84</v>
      </c>
      <c r="I643" s="96">
        <f>IF(H643="ILF",IF($C$1="预估功能点",'模板使用说明&amp;基础参数'!$E$15,7),IF(H643="EIF",IF($C$1="预估功能点",'模板使用说明&amp;基础参数'!$E$16,5),IF(H643="EI",IF($C$1="预估功能点",'模板使用说明&amp;基础参数'!$E$17,'模板使用说明&amp;基础参数'!$E$24),IF(H643="EO",IF($C$1="预估功能点",'模板使用说明&amp;基础参数'!$E$18,'模板使用说明&amp;基础参数'!$E$25),IF(H643="EQ",IF($C$1="预估功能点",'模板使用说明&amp;基础参数'!$E$19,'模板使用说明&amp;基础参数'!$E$26),"")))))</f>
        <v>4</v>
      </c>
      <c r="J643" s="97" t="s">
        <v>38</v>
      </c>
      <c r="K643" s="97" t="s">
        <v>78</v>
      </c>
      <c r="L643" s="98">
        <f>IF(I643="","",IF(J643="高",IF(K643="删除",I643*'模板使用说明&amp;基础参数'!$E$5*'模板使用说明&amp;基础参数'!$E$12,IF(K643="修改",I643*'模板使用说明&amp;基础参数'!$E$5*'模板使用说明&amp;基础参数'!$E$11,I643*'模板使用说明&amp;基础参数'!$E$5*'模板使用说明&amp;基础参数'!$E$10)),IF(J643="中",IF(K643="删除",I643*'模板使用说明&amp;基础参数'!$E$6*'模板使用说明&amp;基础参数'!$E$12,IF(K643="修改",I643*'模板使用说明&amp;基础参数'!$E$6*'模板使用说明&amp;基础参数'!$E$11,I643*'模板使用说明&amp;基础参数'!$E$6*'模板使用说明&amp;基础参数'!$E$10)),IF(K643="删除",I643*'模板使用说明&amp;基础参数'!$E$7*'模板使用说明&amp;基础参数'!$E$12,IF(K643="修改",I643*'模板使用说明&amp;基础参数'!$E$7*'模板使用说明&amp;基础参数'!$E$11,I643*'模板使用说明&amp;基础参数'!$E$7*'模板使用说明&amp;基础参数'!$E$10)))))</f>
        <v>1.06666666666667</v>
      </c>
      <c r="M643" s="95"/>
      <c r="N643" s="99"/>
      <c r="O643" s="100"/>
    </row>
    <row r="644" s="70" customFormat="1" ht="25" customHeight="1" spans="1:15">
      <c r="A644" s="93">
        <v>639</v>
      </c>
      <c r="B644" s="94" t="s">
        <v>72</v>
      </c>
      <c r="C644" s="95" t="s">
        <v>276</v>
      </c>
      <c r="D644" s="95" t="s">
        <v>277</v>
      </c>
      <c r="E644" s="95" t="s">
        <v>277</v>
      </c>
      <c r="F644" s="95" t="s">
        <v>1378</v>
      </c>
      <c r="G644" s="95" t="s">
        <v>1379</v>
      </c>
      <c r="H644" s="93" t="s">
        <v>84</v>
      </c>
      <c r="I644" s="96">
        <f>IF(H644="ILF",IF($C$1="预估功能点",'模板使用说明&amp;基础参数'!$E$15,7),IF(H644="EIF",IF($C$1="预估功能点",'模板使用说明&amp;基础参数'!$E$16,5),IF(H644="EI",IF($C$1="预估功能点",'模板使用说明&amp;基础参数'!$E$17,'模板使用说明&amp;基础参数'!$E$24),IF(H644="EO",IF($C$1="预估功能点",'模板使用说明&amp;基础参数'!$E$18,'模板使用说明&amp;基础参数'!$E$25),IF(H644="EQ",IF($C$1="预估功能点",'模板使用说明&amp;基础参数'!$E$19,'模板使用说明&amp;基础参数'!$E$26),"")))))</f>
        <v>4</v>
      </c>
      <c r="J644" s="97" t="s">
        <v>38</v>
      </c>
      <c r="K644" s="97" t="s">
        <v>78</v>
      </c>
      <c r="L644" s="98">
        <f>IF(I644="","",IF(J644="高",IF(K644="删除",I644*'模板使用说明&amp;基础参数'!$E$5*'模板使用说明&amp;基础参数'!$E$12,IF(K644="修改",I644*'模板使用说明&amp;基础参数'!$E$5*'模板使用说明&amp;基础参数'!$E$11,I644*'模板使用说明&amp;基础参数'!$E$5*'模板使用说明&amp;基础参数'!$E$10)),IF(J644="中",IF(K644="删除",I644*'模板使用说明&amp;基础参数'!$E$6*'模板使用说明&amp;基础参数'!$E$12,IF(K644="修改",I644*'模板使用说明&amp;基础参数'!$E$6*'模板使用说明&amp;基础参数'!$E$11,I644*'模板使用说明&amp;基础参数'!$E$6*'模板使用说明&amp;基础参数'!$E$10)),IF(K644="删除",I644*'模板使用说明&amp;基础参数'!$E$7*'模板使用说明&amp;基础参数'!$E$12,IF(K644="修改",I644*'模板使用说明&amp;基础参数'!$E$7*'模板使用说明&amp;基础参数'!$E$11,I644*'模板使用说明&amp;基础参数'!$E$7*'模板使用说明&amp;基础参数'!$E$10)))))</f>
        <v>1.06666666666667</v>
      </c>
      <c r="M644" s="95"/>
      <c r="N644" s="99"/>
      <c r="O644" s="100"/>
    </row>
    <row r="645" s="70" customFormat="1" ht="25" customHeight="1" spans="1:15">
      <c r="A645" s="93">
        <v>640</v>
      </c>
      <c r="B645" s="94" t="s">
        <v>72</v>
      </c>
      <c r="C645" s="95" t="s">
        <v>276</v>
      </c>
      <c r="D645" s="95" t="s">
        <v>277</v>
      </c>
      <c r="E645" s="95" t="s">
        <v>277</v>
      </c>
      <c r="F645" s="95" t="s">
        <v>1380</v>
      </c>
      <c r="G645" s="95" t="s">
        <v>1381</v>
      </c>
      <c r="H645" s="93" t="s">
        <v>84</v>
      </c>
      <c r="I645" s="96">
        <f>IF(H645="ILF",IF($C$1="预估功能点",'模板使用说明&amp;基础参数'!$E$15,7),IF(H645="EIF",IF($C$1="预估功能点",'模板使用说明&amp;基础参数'!$E$16,5),IF(H645="EI",IF($C$1="预估功能点",'模板使用说明&amp;基础参数'!$E$17,'模板使用说明&amp;基础参数'!$E$24),IF(H645="EO",IF($C$1="预估功能点",'模板使用说明&amp;基础参数'!$E$18,'模板使用说明&amp;基础参数'!$E$25),IF(H645="EQ",IF($C$1="预估功能点",'模板使用说明&amp;基础参数'!$E$19,'模板使用说明&amp;基础参数'!$E$26),"")))))</f>
        <v>4</v>
      </c>
      <c r="J645" s="97" t="s">
        <v>38</v>
      </c>
      <c r="K645" s="97" t="s">
        <v>78</v>
      </c>
      <c r="L645" s="98">
        <f>IF(I645="","",IF(J645="高",IF(K645="删除",I645*'模板使用说明&amp;基础参数'!$E$5*'模板使用说明&amp;基础参数'!$E$12,IF(K645="修改",I645*'模板使用说明&amp;基础参数'!$E$5*'模板使用说明&amp;基础参数'!$E$11,I645*'模板使用说明&amp;基础参数'!$E$5*'模板使用说明&amp;基础参数'!$E$10)),IF(J645="中",IF(K645="删除",I645*'模板使用说明&amp;基础参数'!$E$6*'模板使用说明&amp;基础参数'!$E$12,IF(K645="修改",I645*'模板使用说明&amp;基础参数'!$E$6*'模板使用说明&amp;基础参数'!$E$11,I645*'模板使用说明&amp;基础参数'!$E$6*'模板使用说明&amp;基础参数'!$E$10)),IF(K645="删除",I645*'模板使用说明&amp;基础参数'!$E$7*'模板使用说明&amp;基础参数'!$E$12,IF(K645="修改",I645*'模板使用说明&amp;基础参数'!$E$7*'模板使用说明&amp;基础参数'!$E$11,I645*'模板使用说明&amp;基础参数'!$E$7*'模板使用说明&amp;基础参数'!$E$10)))))</f>
        <v>1.06666666666667</v>
      </c>
      <c r="M645" s="95"/>
      <c r="N645" s="99"/>
      <c r="O645" s="100"/>
    </row>
    <row r="646" s="70" customFormat="1" ht="25" customHeight="1" spans="1:15">
      <c r="A646" s="93">
        <v>641</v>
      </c>
      <c r="B646" s="94" t="s">
        <v>72</v>
      </c>
      <c r="C646" s="95" t="s">
        <v>276</v>
      </c>
      <c r="D646" s="95" t="s">
        <v>277</v>
      </c>
      <c r="E646" s="95" t="s">
        <v>277</v>
      </c>
      <c r="F646" s="95" t="s">
        <v>1382</v>
      </c>
      <c r="G646" s="95" t="s">
        <v>1383</v>
      </c>
      <c r="H646" s="93" t="s">
        <v>77</v>
      </c>
      <c r="I646" s="96">
        <f>IF(H646="ILF",IF($C$1="预估功能点",'模板使用说明&amp;基础参数'!$E$15,7),IF(H646="EIF",IF($C$1="预估功能点",'模板使用说明&amp;基础参数'!$E$16,5),IF(H646="EI",IF($C$1="预估功能点",'模板使用说明&amp;基础参数'!$E$17,'模板使用说明&amp;基础参数'!$E$24),IF(H646="EO",IF($C$1="预估功能点",'模板使用说明&amp;基础参数'!$E$18,'模板使用说明&amp;基础参数'!$E$25),IF(H646="EQ",IF($C$1="预估功能点",'模板使用说明&amp;基础参数'!$E$19,'模板使用说明&amp;基础参数'!$E$26),"")))))</f>
        <v>7</v>
      </c>
      <c r="J646" s="97" t="s">
        <v>38</v>
      </c>
      <c r="K646" s="97" t="s">
        <v>78</v>
      </c>
      <c r="L646" s="98">
        <f>IF(I646="","",IF(J646="高",IF(K646="删除",I646*'模板使用说明&amp;基础参数'!$E$5*'模板使用说明&amp;基础参数'!$E$12,IF(K646="修改",I646*'模板使用说明&amp;基础参数'!$E$5*'模板使用说明&amp;基础参数'!$E$11,I646*'模板使用说明&amp;基础参数'!$E$5*'模板使用说明&amp;基础参数'!$E$10)),IF(J646="中",IF(K646="删除",I646*'模板使用说明&amp;基础参数'!$E$6*'模板使用说明&amp;基础参数'!$E$12,IF(K646="修改",I646*'模板使用说明&amp;基础参数'!$E$6*'模板使用说明&amp;基础参数'!$E$11,I646*'模板使用说明&amp;基础参数'!$E$6*'模板使用说明&amp;基础参数'!$E$10)),IF(K646="删除",I646*'模板使用说明&amp;基础参数'!$E$7*'模板使用说明&amp;基础参数'!$E$12,IF(K646="修改",I646*'模板使用说明&amp;基础参数'!$E$7*'模板使用说明&amp;基础参数'!$E$11,I646*'模板使用说明&amp;基础参数'!$E$7*'模板使用说明&amp;基础参数'!$E$10)))))</f>
        <v>1.86666666666666</v>
      </c>
      <c r="M646" s="95"/>
      <c r="N646" s="99"/>
      <c r="O646" s="100"/>
    </row>
    <row r="647" s="70" customFormat="1" ht="25" customHeight="1" spans="1:15">
      <c r="A647" s="93">
        <v>642</v>
      </c>
      <c r="B647" s="94" t="s">
        <v>72</v>
      </c>
      <c r="C647" s="95" t="s">
        <v>276</v>
      </c>
      <c r="D647" s="95" t="s">
        <v>277</v>
      </c>
      <c r="E647" s="95" t="s">
        <v>277</v>
      </c>
      <c r="F647" s="95" t="s">
        <v>1384</v>
      </c>
      <c r="G647" s="95" t="s">
        <v>1385</v>
      </c>
      <c r="H647" s="93" t="s">
        <v>81</v>
      </c>
      <c r="I647" s="96">
        <f>IF(H647="ILF",IF($C$1="预估功能点",'模板使用说明&amp;基础参数'!$E$15,7),IF(H647="EIF",IF($C$1="预估功能点",'模板使用说明&amp;基础参数'!$E$16,5),IF(H647="EI",IF($C$1="预估功能点",'模板使用说明&amp;基础参数'!$E$17,'模板使用说明&amp;基础参数'!$E$24),IF(H647="EO",IF($C$1="预估功能点",'模板使用说明&amp;基础参数'!$E$18,'模板使用说明&amp;基础参数'!$E$25),IF(H647="EQ",IF($C$1="预估功能点",'模板使用说明&amp;基础参数'!$E$19,'模板使用说明&amp;基础参数'!$E$26),"")))))</f>
        <v>4</v>
      </c>
      <c r="J647" s="97" t="s">
        <v>38</v>
      </c>
      <c r="K647" s="97" t="s">
        <v>78</v>
      </c>
      <c r="L647" s="98">
        <f>IF(I647="","",IF(J647="高",IF(K647="删除",I647*'模板使用说明&amp;基础参数'!$E$5*'模板使用说明&amp;基础参数'!$E$12,IF(K647="修改",I647*'模板使用说明&amp;基础参数'!$E$5*'模板使用说明&amp;基础参数'!$E$11,I647*'模板使用说明&amp;基础参数'!$E$5*'模板使用说明&amp;基础参数'!$E$10)),IF(J647="中",IF(K647="删除",I647*'模板使用说明&amp;基础参数'!$E$6*'模板使用说明&amp;基础参数'!$E$12,IF(K647="修改",I647*'模板使用说明&amp;基础参数'!$E$6*'模板使用说明&amp;基础参数'!$E$11,I647*'模板使用说明&amp;基础参数'!$E$6*'模板使用说明&amp;基础参数'!$E$10)),IF(K647="删除",I647*'模板使用说明&amp;基础参数'!$E$7*'模板使用说明&amp;基础参数'!$E$12,IF(K647="修改",I647*'模板使用说明&amp;基础参数'!$E$7*'模板使用说明&amp;基础参数'!$E$11,I647*'模板使用说明&amp;基础参数'!$E$7*'模板使用说明&amp;基础参数'!$E$10)))))</f>
        <v>1.06666666666667</v>
      </c>
      <c r="M647" s="95"/>
      <c r="N647" s="99"/>
      <c r="O647" s="100"/>
    </row>
    <row r="648" s="70" customFormat="1" ht="25" customHeight="1" spans="1:15">
      <c r="A648" s="93">
        <v>643</v>
      </c>
      <c r="B648" s="94" t="s">
        <v>72</v>
      </c>
      <c r="C648" s="95" t="s">
        <v>276</v>
      </c>
      <c r="D648" s="95" t="s">
        <v>277</v>
      </c>
      <c r="E648" s="95" t="s">
        <v>277</v>
      </c>
      <c r="F648" s="95" t="s">
        <v>1386</v>
      </c>
      <c r="G648" s="95" t="s">
        <v>1387</v>
      </c>
      <c r="H648" s="93" t="s">
        <v>84</v>
      </c>
      <c r="I648" s="96">
        <f>IF(H648="ILF",IF($C$1="预估功能点",'模板使用说明&amp;基础参数'!$E$15,7),IF(H648="EIF",IF($C$1="预估功能点",'模板使用说明&amp;基础参数'!$E$16,5),IF(H648="EI",IF($C$1="预估功能点",'模板使用说明&amp;基础参数'!$E$17,'模板使用说明&amp;基础参数'!$E$24),IF(H648="EO",IF($C$1="预估功能点",'模板使用说明&amp;基础参数'!$E$18,'模板使用说明&amp;基础参数'!$E$25),IF(H648="EQ",IF($C$1="预估功能点",'模板使用说明&amp;基础参数'!$E$19,'模板使用说明&amp;基础参数'!$E$26),"")))))</f>
        <v>4</v>
      </c>
      <c r="J648" s="97" t="s">
        <v>38</v>
      </c>
      <c r="K648" s="97" t="s">
        <v>78</v>
      </c>
      <c r="L648" s="98">
        <f>IF(I648="","",IF(J648="高",IF(K648="删除",I648*'模板使用说明&amp;基础参数'!$E$5*'模板使用说明&amp;基础参数'!$E$12,IF(K648="修改",I648*'模板使用说明&amp;基础参数'!$E$5*'模板使用说明&amp;基础参数'!$E$11,I648*'模板使用说明&amp;基础参数'!$E$5*'模板使用说明&amp;基础参数'!$E$10)),IF(J648="中",IF(K648="删除",I648*'模板使用说明&amp;基础参数'!$E$6*'模板使用说明&amp;基础参数'!$E$12,IF(K648="修改",I648*'模板使用说明&amp;基础参数'!$E$6*'模板使用说明&amp;基础参数'!$E$11,I648*'模板使用说明&amp;基础参数'!$E$6*'模板使用说明&amp;基础参数'!$E$10)),IF(K648="删除",I648*'模板使用说明&amp;基础参数'!$E$7*'模板使用说明&amp;基础参数'!$E$12,IF(K648="修改",I648*'模板使用说明&amp;基础参数'!$E$7*'模板使用说明&amp;基础参数'!$E$11,I648*'模板使用说明&amp;基础参数'!$E$7*'模板使用说明&amp;基础参数'!$E$10)))))</f>
        <v>1.06666666666667</v>
      </c>
      <c r="M648" s="95"/>
      <c r="N648" s="99"/>
      <c r="O648" s="100"/>
    </row>
    <row r="649" s="70" customFormat="1" ht="25" customHeight="1" spans="1:15">
      <c r="A649" s="93">
        <v>644</v>
      </c>
      <c r="B649" s="94" t="s">
        <v>72</v>
      </c>
      <c r="C649" s="95" t="s">
        <v>276</v>
      </c>
      <c r="D649" s="95" t="s">
        <v>277</v>
      </c>
      <c r="E649" s="95" t="s">
        <v>277</v>
      </c>
      <c r="F649" s="95" t="s">
        <v>1388</v>
      </c>
      <c r="G649" s="95" t="s">
        <v>1389</v>
      </c>
      <c r="H649" s="93" t="s">
        <v>84</v>
      </c>
      <c r="I649" s="96">
        <f>IF(H649="ILF",IF($C$1="预估功能点",'模板使用说明&amp;基础参数'!$E$15,7),IF(H649="EIF",IF($C$1="预估功能点",'模板使用说明&amp;基础参数'!$E$16,5),IF(H649="EI",IF($C$1="预估功能点",'模板使用说明&amp;基础参数'!$E$17,'模板使用说明&amp;基础参数'!$E$24),IF(H649="EO",IF($C$1="预估功能点",'模板使用说明&amp;基础参数'!$E$18,'模板使用说明&amp;基础参数'!$E$25),IF(H649="EQ",IF($C$1="预估功能点",'模板使用说明&amp;基础参数'!$E$19,'模板使用说明&amp;基础参数'!$E$26),"")))))</f>
        <v>4</v>
      </c>
      <c r="J649" s="97" t="s">
        <v>38</v>
      </c>
      <c r="K649" s="97" t="s">
        <v>78</v>
      </c>
      <c r="L649" s="98">
        <f>IF(I649="","",IF(J649="高",IF(K649="删除",I649*'模板使用说明&amp;基础参数'!$E$5*'模板使用说明&amp;基础参数'!$E$12,IF(K649="修改",I649*'模板使用说明&amp;基础参数'!$E$5*'模板使用说明&amp;基础参数'!$E$11,I649*'模板使用说明&amp;基础参数'!$E$5*'模板使用说明&amp;基础参数'!$E$10)),IF(J649="中",IF(K649="删除",I649*'模板使用说明&amp;基础参数'!$E$6*'模板使用说明&amp;基础参数'!$E$12,IF(K649="修改",I649*'模板使用说明&amp;基础参数'!$E$6*'模板使用说明&amp;基础参数'!$E$11,I649*'模板使用说明&amp;基础参数'!$E$6*'模板使用说明&amp;基础参数'!$E$10)),IF(K649="删除",I649*'模板使用说明&amp;基础参数'!$E$7*'模板使用说明&amp;基础参数'!$E$12,IF(K649="修改",I649*'模板使用说明&amp;基础参数'!$E$7*'模板使用说明&amp;基础参数'!$E$11,I649*'模板使用说明&amp;基础参数'!$E$7*'模板使用说明&amp;基础参数'!$E$10)))))</f>
        <v>1.06666666666667</v>
      </c>
      <c r="M649" s="95"/>
      <c r="N649" s="99"/>
      <c r="O649" s="100"/>
    </row>
    <row r="650" s="70" customFormat="1" ht="25" customHeight="1" spans="1:15">
      <c r="A650" s="93">
        <v>645</v>
      </c>
      <c r="B650" s="94" t="s">
        <v>72</v>
      </c>
      <c r="C650" s="95" t="s">
        <v>276</v>
      </c>
      <c r="D650" s="95" t="s">
        <v>277</v>
      </c>
      <c r="E650" s="95" t="s">
        <v>277</v>
      </c>
      <c r="F650" s="95" t="s">
        <v>1390</v>
      </c>
      <c r="G650" s="95" t="s">
        <v>1391</v>
      </c>
      <c r="H650" s="93" t="s">
        <v>84</v>
      </c>
      <c r="I650" s="96">
        <f>IF(H650="ILF",IF($C$1="预估功能点",'模板使用说明&amp;基础参数'!$E$15,7),IF(H650="EIF",IF($C$1="预估功能点",'模板使用说明&amp;基础参数'!$E$16,5),IF(H650="EI",IF($C$1="预估功能点",'模板使用说明&amp;基础参数'!$E$17,'模板使用说明&amp;基础参数'!$E$24),IF(H650="EO",IF($C$1="预估功能点",'模板使用说明&amp;基础参数'!$E$18,'模板使用说明&amp;基础参数'!$E$25),IF(H650="EQ",IF($C$1="预估功能点",'模板使用说明&amp;基础参数'!$E$19,'模板使用说明&amp;基础参数'!$E$26),"")))))</f>
        <v>4</v>
      </c>
      <c r="J650" s="97" t="s">
        <v>38</v>
      </c>
      <c r="K650" s="97" t="s">
        <v>78</v>
      </c>
      <c r="L650" s="98">
        <f>IF(I650="","",IF(J650="高",IF(K650="删除",I650*'模板使用说明&amp;基础参数'!$E$5*'模板使用说明&amp;基础参数'!$E$12,IF(K650="修改",I650*'模板使用说明&amp;基础参数'!$E$5*'模板使用说明&amp;基础参数'!$E$11,I650*'模板使用说明&amp;基础参数'!$E$5*'模板使用说明&amp;基础参数'!$E$10)),IF(J650="中",IF(K650="删除",I650*'模板使用说明&amp;基础参数'!$E$6*'模板使用说明&amp;基础参数'!$E$12,IF(K650="修改",I650*'模板使用说明&amp;基础参数'!$E$6*'模板使用说明&amp;基础参数'!$E$11,I650*'模板使用说明&amp;基础参数'!$E$6*'模板使用说明&amp;基础参数'!$E$10)),IF(K650="删除",I650*'模板使用说明&amp;基础参数'!$E$7*'模板使用说明&amp;基础参数'!$E$12,IF(K650="修改",I650*'模板使用说明&amp;基础参数'!$E$7*'模板使用说明&amp;基础参数'!$E$11,I650*'模板使用说明&amp;基础参数'!$E$7*'模板使用说明&amp;基础参数'!$E$10)))))</f>
        <v>1.06666666666667</v>
      </c>
      <c r="M650" s="95"/>
      <c r="N650" s="99"/>
      <c r="O650" s="100"/>
    </row>
    <row r="651" s="70" customFormat="1" ht="25" customHeight="1" spans="1:15">
      <c r="A651" s="93">
        <v>646</v>
      </c>
      <c r="B651" s="94" t="s">
        <v>72</v>
      </c>
      <c r="C651" s="95" t="s">
        <v>276</v>
      </c>
      <c r="D651" s="95" t="s">
        <v>277</v>
      </c>
      <c r="E651" s="95" t="s">
        <v>277</v>
      </c>
      <c r="F651" s="95" t="s">
        <v>1392</v>
      </c>
      <c r="G651" s="95" t="s">
        <v>1393</v>
      </c>
      <c r="H651" s="93" t="s">
        <v>77</v>
      </c>
      <c r="I651" s="96">
        <f>IF(H651="ILF",IF($C$1="预估功能点",'模板使用说明&amp;基础参数'!$E$15,7),IF(H651="EIF",IF($C$1="预估功能点",'模板使用说明&amp;基础参数'!$E$16,5),IF(H651="EI",IF($C$1="预估功能点",'模板使用说明&amp;基础参数'!$E$17,'模板使用说明&amp;基础参数'!$E$24),IF(H651="EO",IF($C$1="预估功能点",'模板使用说明&amp;基础参数'!$E$18,'模板使用说明&amp;基础参数'!$E$25),IF(H651="EQ",IF($C$1="预估功能点",'模板使用说明&amp;基础参数'!$E$19,'模板使用说明&amp;基础参数'!$E$26),"")))))</f>
        <v>7</v>
      </c>
      <c r="J651" s="97" t="s">
        <v>38</v>
      </c>
      <c r="K651" s="97" t="s">
        <v>78</v>
      </c>
      <c r="L651" s="98">
        <f>IF(I651="","",IF(J651="高",IF(K651="删除",I651*'模板使用说明&amp;基础参数'!$E$5*'模板使用说明&amp;基础参数'!$E$12,IF(K651="修改",I651*'模板使用说明&amp;基础参数'!$E$5*'模板使用说明&amp;基础参数'!$E$11,I651*'模板使用说明&amp;基础参数'!$E$5*'模板使用说明&amp;基础参数'!$E$10)),IF(J651="中",IF(K651="删除",I651*'模板使用说明&amp;基础参数'!$E$6*'模板使用说明&amp;基础参数'!$E$12,IF(K651="修改",I651*'模板使用说明&amp;基础参数'!$E$6*'模板使用说明&amp;基础参数'!$E$11,I651*'模板使用说明&amp;基础参数'!$E$6*'模板使用说明&amp;基础参数'!$E$10)),IF(K651="删除",I651*'模板使用说明&amp;基础参数'!$E$7*'模板使用说明&amp;基础参数'!$E$12,IF(K651="修改",I651*'模板使用说明&amp;基础参数'!$E$7*'模板使用说明&amp;基础参数'!$E$11,I651*'模板使用说明&amp;基础参数'!$E$7*'模板使用说明&amp;基础参数'!$E$10)))))</f>
        <v>1.86666666666666</v>
      </c>
      <c r="M651" s="95"/>
      <c r="N651" s="99"/>
      <c r="O651" s="100"/>
    </row>
    <row r="652" s="70" customFormat="1" ht="25" customHeight="1" spans="1:15">
      <c r="A652" s="93">
        <v>647</v>
      </c>
      <c r="B652" s="94" t="s">
        <v>72</v>
      </c>
      <c r="C652" s="95" t="s">
        <v>276</v>
      </c>
      <c r="D652" s="95" t="s">
        <v>277</v>
      </c>
      <c r="E652" s="95" t="s">
        <v>277</v>
      </c>
      <c r="F652" s="95" t="s">
        <v>1394</v>
      </c>
      <c r="G652" s="95" t="s">
        <v>1395</v>
      </c>
      <c r="H652" s="93" t="s">
        <v>81</v>
      </c>
      <c r="I652" s="96">
        <f>IF(H652="ILF",IF($C$1="预估功能点",'模板使用说明&amp;基础参数'!$E$15,7),IF(H652="EIF",IF($C$1="预估功能点",'模板使用说明&amp;基础参数'!$E$16,5),IF(H652="EI",IF($C$1="预估功能点",'模板使用说明&amp;基础参数'!$E$17,'模板使用说明&amp;基础参数'!$E$24),IF(H652="EO",IF($C$1="预估功能点",'模板使用说明&amp;基础参数'!$E$18,'模板使用说明&amp;基础参数'!$E$25),IF(H652="EQ",IF($C$1="预估功能点",'模板使用说明&amp;基础参数'!$E$19,'模板使用说明&amp;基础参数'!$E$26),"")))))</f>
        <v>4</v>
      </c>
      <c r="J652" s="97" t="s">
        <v>38</v>
      </c>
      <c r="K652" s="97" t="s">
        <v>78</v>
      </c>
      <c r="L652" s="98">
        <f>IF(I652="","",IF(J652="高",IF(K652="删除",I652*'模板使用说明&amp;基础参数'!$E$5*'模板使用说明&amp;基础参数'!$E$12,IF(K652="修改",I652*'模板使用说明&amp;基础参数'!$E$5*'模板使用说明&amp;基础参数'!$E$11,I652*'模板使用说明&amp;基础参数'!$E$5*'模板使用说明&amp;基础参数'!$E$10)),IF(J652="中",IF(K652="删除",I652*'模板使用说明&amp;基础参数'!$E$6*'模板使用说明&amp;基础参数'!$E$12,IF(K652="修改",I652*'模板使用说明&amp;基础参数'!$E$6*'模板使用说明&amp;基础参数'!$E$11,I652*'模板使用说明&amp;基础参数'!$E$6*'模板使用说明&amp;基础参数'!$E$10)),IF(K652="删除",I652*'模板使用说明&amp;基础参数'!$E$7*'模板使用说明&amp;基础参数'!$E$12,IF(K652="修改",I652*'模板使用说明&amp;基础参数'!$E$7*'模板使用说明&amp;基础参数'!$E$11,I652*'模板使用说明&amp;基础参数'!$E$7*'模板使用说明&amp;基础参数'!$E$10)))))</f>
        <v>1.06666666666667</v>
      </c>
      <c r="M652" s="95"/>
      <c r="N652" s="99"/>
      <c r="O652" s="100"/>
    </row>
    <row r="653" s="70" customFormat="1" ht="25" customHeight="1" spans="1:15">
      <c r="A653" s="93">
        <v>648</v>
      </c>
      <c r="B653" s="94" t="s">
        <v>72</v>
      </c>
      <c r="C653" s="95" t="s">
        <v>276</v>
      </c>
      <c r="D653" s="95" t="s">
        <v>277</v>
      </c>
      <c r="E653" s="95" t="s">
        <v>277</v>
      </c>
      <c r="F653" s="95" t="s">
        <v>1396</v>
      </c>
      <c r="G653" s="95" t="s">
        <v>1397</v>
      </c>
      <c r="H653" s="93" t="s">
        <v>84</v>
      </c>
      <c r="I653" s="96">
        <f>IF(H653="ILF",IF($C$1="预估功能点",'模板使用说明&amp;基础参数'!$E$15,7),IF(H653="EIF",IF($C$1="预估功能点",'模板使用说明&amp;基础参数'!$E$16,5),IF(H653="EI",IF($C$1="预估功能点",'模板使用说明&amp;基础参数'!$E$17,'模板使用说明&amp;基础参数'!$E$24),IF(H653="EO",IF($C$1="预估功能点",'模板使用说明&amp;基础参数'!$E$18,'模板使用说明&amp;基础参数'!$E$25),IF(H653="EQ",IF($C$1="预估功能点",'模板使用说明&amp;基础参数'!$E$19,'模板使用说明&amp;基础参数'!$E$26),"")))))</f>
        <v>4</v>
      </c>
      <c r="J653" s="97" t="s">
        <v>38</v>
      </c>
      <c r="K653" s="97" t="s">
        <v>78</v>
      </c>
      <c r="L653" s="98">
        <f>IF(I653="","",IF(J653="高",IF(K653="删除",I653*'模板使用说明&amp;基础参数'!$E$5*'模板使用说明&amp;基础参数'!$E$12,IF(K653="修改",I653*'模板使用说明&amp;基础参数'!$E$5*'模板使用说明&amp;基础参数'!$E$11,I653*'模板使用说明&amp;基础参数'!$E$5*'模板使用说明&amp;基础参数'!$E$10)),IF(J653="中",IF(K653="删除",I653*'模板使用说明&amp;基础参数'!$E$6*'模板使用说明&amp;基础参数'!$E$12,IF(K653="修改",I653*'模板使用说明&amp;基础参数'!$E$6*'模板使用说明&amp;基础参数'!$E$11,I653*'模板使用说明&amp;基础参数'!$E$6*'模板使用说明&amp;基础参数'!$E$10)),IF(K653="删除",I653*'模板使用说明&amp;基础参数'!$E$7*'模板使用说明&amp;基础参数'!$E$12,IF(K653="修改",I653*'模板使用说明&amp;基础参数'!$E$7*'模板使用说明&amp;基础参数'!$E$11,I653*'模板使用说明&amp;基础参数'!$E$7*'模板使用说明&amp;基础参数'!$E$10)))))</f>
        <v>1.06666666666667</v>
      </c>
      <c r="M653" s="95"/>
      <c r="N653" s="99"/>
      <c r="O653" s="100"/>
    </row>
    <row r="654" s="70" customFormat="1" ht="25" customHeight="1" spans="1:15">
      <c r="A654" s="93">
        <v>649</v>
      </c>
      <c r="B654" s="94" t="s">
        <v>72</v>
      </c>
      <c r="C654" s="95" t="s">
        <v>276</v>
      </c>
      <c r="D654" s="95" t="s">
        <v>277</v>
      </c>
      <c r="E654" s="95" t="s">
        <v>277</v>
      </c>
      <c r="F654" s="95" t="s">
        <v>1398</v>
      </c>
      <c r="G654" s="95" t="s">
        <v>1399</v>
      </c>
      <c r="H654" s="93" t="s">
        <v>84</v>
      </c>
      <c r="I654" s="96">
        <f>IF(H654="ILF",IF($C$1="预估功能点",'模板使用说明&amp;基础参数'!$E$15,7),IF(H654="EIF",IF($C$1="预估功能点",'模板使用说明&amp;基础参数'!$E$16,5),IF(H654="EI",IF($C$1="预估功能点",'模板使用说明&amp;基础参数'!$E$17,'模板使用说明&amp;基础参数'!$E$24),IF(H654="EO",IF($C$1="预估功能点",'模板使用说明&amp;基础参数'!$E$18,'模板使用说明&amp;基础参数'!$E$25),IF(H654="EQ",IF($C$1="预估功能点",'模板使用说明&amp;基础参数'!$E$19,'模板使用说明&amp;基础参数'!$E$26),"")))))</f>
        <v>4</v>
      </c>
      <c r="J654" s="97" t="s">
        <v>38</v>
      </c>
      <c r="K654" s="97" t="s">
        <v>78</v>
      </c>
      <c r="L654" s="98">
        <f>IF(I654="","",IF(J654="高",IF(K654="删除",I654*'模板使用说明&amp;基础参数'!$E$5*'模板使用说明&amp;基础参数'!$E$12,IF(K654="修改",I654*'模板使用说明&amp;基础参数'!$E$5*'模板使用说明&amp;基础参数'!$E$11,I654*'模板使用说明&amp;基础参数'!$E$5*'模板使用说明&amp;基础参数'!$E$10)),IF(J654="中",IF(K654="删除",I654*'模板使用说明&amp;基础参数'!$E$6*'模板使用说明&amp;基础参数'!$E$12,IF(K654="修改",I654*'模板使用说明&amp;基础参数'!$E$6*'模板使用说明&amp;基础参数'!$E$11,I654*'模板使用说明&amp;基础参数'!$E$6*'模板使用说明&amp;基础参数'!$E$10)),IF(K654="删除",I654*'模板使用说明&amp;基础参数'!$E$7*'模板使用说明&amp;基础参数'!$E$12,IF(K654="修改",I654*'模板使用说明&amp;基础参数'!$E$7*'模板使用说明&amp;基础参数'!$E$11,I654*'模板使用说明&amp;基础参数'!$E$7*'模板使用说明&amp;基础参数'!$E$10)))))</f>
        <v>1.06666666666667</v>
      </c>
      <c r="M654" s="95"/>
      <c r="N654" s="99"/>
      <c r="O654" s="100"/>
    </row>
    <row r="655" s="70" customFormat="1" ht="25" customHeight="1" spans="1:15">
      <c r="A655" s="93">
        <v>650</v>
      </c>
      <c r="B655" s="94" t="s">
        <v>72</v>
      </c>
      <c r="C655" s="95" t="s">
        <v>276</v>
      </c>
      <c r="D655" s="95" t="s">
        <v>277</v>
      </c>
      <c r="E655" s="95" t="s">
        <v>277</v>
      </c>
      <c r="F655" s="95" t="s">
        <v>1400</v>
      </c>
      <c r="G655" s="95" t="s">
        <v>1401</v>
      </c>
      <c r="H655" s="93" t="s">
        <v>84</v>
      </c>
      <c r="I655" s="96">
        <f>IF(H655="ILF",IF($C$1="预估功能点",'模板使用说明&amp;基础参数'!$E$15,7),IF(H655="EIF",IF($C$1="预估功能点",'模板使用说明&amp;基础参数'!$E$16,5),IF(H655="EI",IF($C$1="预估功能点",'模板使用说明&amp;基础参数'!$E$17,'模板使用说明&amp;基础参数'!$E$24),IF(H655="EO",IF($C$1="预估功能点",'模板使用说明&amp;基础参数'!$E$18,'模板使用说明&amp;基础参数'!$E$25),IF(H655="EQ",IF($C$1="预估功能点",'模板使用说明&amp;基础参数'!$E$19,'模板使用说明&amp;基础参数'!$E$26),"")))))</f>
        <v>4</v>
      </c>
      <c r="J655" s="97" t="s">
        <v>38</v>
      </c>
      <c r="K655" s="97" t="s">
        <v>78</v>
      </c>
      <c r="L655" s="98">
        <f>IF(I655="","",IF(J655="高",IF(K655="删除",I655*'模板使用说明&amp;基础参数'!$E$5*'模板使用说明&amp;基础参数'!$E$12,IF(K655="修改",I655*'模板使用说明&amp;基础参数'!$E$5*'模板使用说明&amp;基础参数'!$E$11,I655*'模板使用说明&amp;基础参数'!$E$5*'模板使用说明&amp;基础参数'!$E$10)),IF(J655="中",IF(K655="删除",I655*'模板使用说明&amp;基础参数'!$E$6*'模板使用说明&amp;基础参数'!$E$12,IF(K655="修改",I655*'模板使用说明&amp;基础参数'!$E$6*'模板使用说明&amp;基础参数'!$E$11,I655*'模板使用说明&amp;基础参数'!$E$6*'模板使用说明&amp;基础参数'!$E$10)),IF(K655="删除",I655*'模板使用说明&amp;基础参数'!$E$7*'模板使用说明&amp;基础参数'!$E$12,IF(K655="修改",I655*'模板使用说明&amp;基础参数'!$E$7*'模板使用说明&amp;基础参数'!$E$11,I655*'模板使用说明&amp;基础参数'!$E$7*'模板使用说明&amp;基础参数'!$E$10)))))</f>
        <v>1.06666666666667</v>
      </c>
      <c r="M655" s="95"/>
      <c r="N655" s="99"/>
      <c r="O655" s="100"/>
    </row>
    <row r="656" s="70" customFormat="1" ht="25" customHeight="1" spans="1:15">
      <c r="A656" s="93">
        <v>651</v>
      </c>
      <c r="B656" s="94" t="s">
        <v>72</v>
      </c>
      <c r="C656" s="95" t="s">
        <v>276</v>
      </c>
      <c r="D656" s="95" t="s">
        <v>277</v>
      </c>
      <c r="E656" s="95" t="s">
        <v>277</v>
      </c>
      <c r="F656" s="95" t="s">
        <v>1402</v>
      </c>
      <c r="G656" s="95" t="s">
        <v>1403</v>
      </c>
      <c r="H656" s="93" t="s">
        <v>77</v>
      </c>
      <c r="I656" s="96">
        <f>IF(H656="ILF",IF($C$1="预估功能点",'模板使用说明&amp;基础参数'!$E$15,7),IF(H656="EIF",IF($C$1="预估功能点",'模板使用说明&amp;基础参数'!$E$16,5),IF(H656="EI",IF($C$1="预估功能点",'模板使用说明&amp;基础参数'!$E$17,'模板使用说明&amp;基础参数'!$E$24),IF(H656="EO",IF($C$1="预估功能点",'模板使用说明&amp;基础参数'!$E$18,'模板使用说明&amp;基础参数'!$E$25),IF(H656="EQ",IF($C$1="预估功能点",'模板使用说明&amp;基础参数'!$E$19,'模板使用说明&amp;基础参数'!$E$26),"")))))</f>
        <v>7</v>
      </c>
      <c r="J656" s="97" t="s">
        <v>38</v>
      </c>
      <c r="K656" s="97" t="s">
        <v>78</v>
      </c>
      <c r="L656" s="98">
        <f>IF(I656="","",IF(J656="高",IF(K656="删除",I656*'模板使用说明&amp;基础参数'!$E$5*'模板使用说明&amp;基础参数'!$E$12,IF(K656="修改",I656*'模板使用说明&amp;基础参数'!$E$5*'模板使用说明&amp;基础参数'!$E$11,I656*'模板使用说明&amp;基础参数'!$E$5*'模板使用说明&amp;基础参数'!$E$10)),IF(J656="中",IF(K656="删除",I656*'模板使用说明&amp;基础参数'!$E$6*'模板使用说明&amp;基础参数'!$E$12,IF(K656="修改",I656*'模板使用说明&amp;基础参数'!$E$6*'模板使用说明&amp;基础参数'!$E$11,I656*'模板使用说明&amp;基础参数'!$E$6*'模板使用说明&amp;基础参数'!$E$10)),IF(K656="删除",I656*'模板使用说明&amp;基础参数'!$E$7*'模板使用说明&amp;基础参数'!$E$12,IF(K656="修改",I656*'模板使用说明&amp;基础参数'!$E$7*'模板使用说明&amp;基础参数'!$E$11,I656*'模板使用说明&amp;基础参数'!$E$7*'模板使用说明&amp;基础参数'!$E$10)))))</f>
        <v>1.86666666666666</v>
      </c>
      <c r="M656" s="95"/>
      <c r="N656" s="99"/>
      <c r="O656" s="100"/>
    </row>
    <row r="657" s="70" customFormat="1" ht="25" customHeight="1" spans="1:15">
      <c r="A657" s="93">
        <v>652</v>
      </c>
      <c r="B657" s="94" t="s">
        <v>72</v>
      </c>
      <c r="C657" s="95" t="s">
        <v>276</v>
      </c>
      <c r="D657" s="95" t="s">
        <v>277</v>
      </c>
      <c r="E657" s="95" t="s">
        <v>277</v>
      </c>
      <c r="F657" s="95" t="s">
        <v>1404</v>
      </c>
      <c r="G657" s="95" t="s">
        <v>1405</v>
      </c>
      <c r="H657" s="93" t="s">
        <v>81</v>
      </c>
      <c r="I657" s="96">
        <f>IF(H657="ILF",IF($C$1="预估功能点",'模板使用说明&amp;基础参数'!$E$15,7),IF(H657="EIF",IF($C$1="预估功能点",'模板使用说明&amp;基础参数'!$E$16,5),IF(H657="EI",IF($C$1="预估功能点",'模板使用说明&amp;基础参数'!$E$17,'模板使用说明&amp;基础参数'!$E$24),IF(H657="EO",IF($C$1="预估功能点",'模板使用说明&amp;基础参数'!$E$18,'模板使用说明&amp;基础参数'!$E$25),IF(H657="EQ",IF($C$1="预估功能点",'模板使用说明&amp;基础参数'!$E$19,'模板使用说明&amp;基础参数'!$E$26),"")))))</f>
        <v>4</v>
      </c>
      <c r="J657" s="97" t="s">
        <v>38</v>
      </c>
      <c r="K657" s="97" t="s">
        <v>78</v>
      </c>
      <c r="L657" s="98">
        <f>IF(I657="","",IF(J657="高",IF(K657="删除",I657*'模板使用说明&amp;基础参数'!$E$5*'模板使用说明&amp;基础参数'!$E$12,IF(K657="修改",I657*'模板使用说明&amp;基础参数'!$E$5*'模板使用说明&amp;基础参数'!$E$11,I657*'模板使用说明&amp;基础参数'!$E$5*'模板使用说明&amp;基础参数'!$E$10)),IF(J657="中",IF(K657="删除",I657*'模板使用说明&amp;基础参数'!$E$6*'模板使用说明&amp;基础参数'!$E$12,IF(K657="修改",I657*'模板使用说明&amp;基础参数'!$E$6*'模板使用说明&amp;基础参数'!$E$11,I657*'模板使用说明&amp;基础参数'!$E$6*'模板使用说明&amp;基础参数'!$E$10)),IF(K657="删除",I657*'模板使用说明&amp;基础参数'!$E$7*'模板使用说明&amp;基础参数'!$E$12,IF(K657="修改",I657*'模板使用说明&amp;基础参数'!$E$7*'模板使用说明&amp;基础参数'!$E$11,I657*'模板使用说明&amp;基础参数'!$E$7*'模板使用说明&amp;基础参数'!$E$10)))))</f>
        <v>1.06666666666667</v>
      </c>
      <c r="M657" s="95"/>
      <c r="N657" s="99"/>
      <c r="O657" s="100"/>
    </row>
    <row r="658" s="70" customFormat="1" ht="25" customHeight="1" spans="1:15">
      <c r="A658" s="93">
        <v>653</v>
      </c>
      <c r="B658" s="94" t="s">
        <v>72</v>
      </c>
      <c r="C658" s="95" t="s">
        <v>276</v>
      </c>
      <c r="D658" s="95" t="s">
        <v>277</v>
      </c>
      <c r="E658" s="95" t="s">
        <v>277</v>
      </c>
      <c r="F658" s="95" t="s">
        <v>1406</v>
      </c>
      <c r="G658" s="95" t="s">
        <v>1407</v>
      </c>
      <c r="H658" s="93" t="s">
        <v>84</v>
      </c>
      <c r="I658" s="96">
        <f>IF(H658="ILF",IF($C$1="预估功能点",'模板使用说明&amp;基础参数'!$E$15,7),IF(H658="EIF",IF($C$1="预估功能点",'模板使用说明&amp;基础参数'!$E$16,5),IF(H658="EI",IF($C$1="预估功能点",'模板使用说明&amp;基础参数'!$E$17,'模板使用说明&amp;基础参数'!$E$24),IF(H658="EO",IF($C$1="预估功能点",'模板使用说明&amp;基础参数'!$E$18,'模板使用说明&amp;基础参数'!$E$25),IF(H658="EQ",IF($C$1="预估功能点",'模板使用说明&amp;基础参数'!$E$19,'模板使用说明&amp;基础参数'!$E$26),"")))))</f>
        <v>4</v>
      </c>
      <c r="J658" s="97" t="s">
        <v>38</v>
      </c>
      <c r="K658" s="97" t="s">
        <v>78</v>
      </c>
      <c r="L658" s="98">
        <f>IF(I658="","",IF(J658="高",IF(K658="删除",I658*'模板使用说明&amp;基础参数'!$E$5*'模板使用说明&amp;基础参数'!$E$12,IF(K658="修改",I658*'模板使用说明&amp;基础参数'!$E$5*'模板使用说明&amp;基础参数'!$E$11,I658*'模板使用说明&amp;基础参数'!$E$5*'模板使用说明&amp;基础参数'!$E$10)),IF(J658="中",IF(K658="删除",I658*'模板使用说明&amp;基础参数'!$E$6*'模板使用说明&amp;基础参数'!$E$12,IF(K658="修改",I658*'模板使用说明&amp;基础参数'!$E$6*'模板使用说明&amp;基础参数'!$E$11,I658*'模板使用说明&amp;基础参数'!$E$6*'模板使用说明&amp;基础参数'!$E$10)),IF(K658="删除",I658*'模板使用说明&amp;基础参数'!$E$7*'模板使用说明&amp;基础参数'!$E$12,IF(K658="修改",I658*'模板使用说明&amp;基础参数'!$E$7*'模板使用说明&amp;基础参数'!$E$11,I658*'模板使用说明&amp;基础参数'!$E$7*'模板使用说明&amp;基础参数'!$E$10)))))</f>
        <v>1.06666666666667</v>
      </c>
      <c r="M658" s="95"/>
      <c r="N658" s="99"/>
      <c r="O658" s="100"/>
    </row>
    <row r="659" s="70" customFormat="1" ht="25" customHeight="1" spans="1:15">
      <c r="A659" s="93">
        <v>654</v>
      </c>
      <c r="B659" s="94" t="s">
        <v>72</v>
      </c>
      <c r="C659" s="95" t="s">
        <v>276</v>
      </c>
      <c r="D659" s="95" t="s">
        <v>277</v>
      </c>
      <c r="E659" s="95" t="s">
        <v>277</v>
      </c>
      <c r="F659" s="95" t="s">
        <v>1408</v>
      </c>
      <c r="G659" s="95" t="s">
        <v>1409</v>
      </c>
      <c r="H659" s="93" t="s">
        <v>84</v>
      </c>
      <c r="I659" s="96">
        <f>IF(H659="ILF",IF($C$1="预估功能点",'模板使用说明&amp;基础参数'!$E$15,7),IF(H659="EIF",IF($C$1="预估功能点",'模板使用说明&amp;基础参数'!$E$16,5),IF(H659="EI",IF($C$1="预估功能点",'模板使用说明&amp;基础参数'!$E$17,'模板使用说明&amp;基础参数'!$E$24),IF(H659="EO",IF($C$1="预估功能点",'模板使用说明&amp;基础参数'!$E$18,'模板使用说明&amp;基础参数'!$E$25),IF(H659="EQ",IF($C$1="预估功能点",'模板使用说明&amp;基础参数'!$E$19,'模板使用说明&amp;基础参数'!$E$26),"")))))</f>
        <v>4</v>
      </c>
      <c r="J659" s="97" t="s">
        <v>38</v>
      </c>
      <c r="K659" s="97" t="s">
        <v>78</v>
      </c>
      <c r="L659" s="98">
        <f>IF(I659="","",IF(J659="高",IF(K659="删除",I659*'模板使用说明&amp;基础参数'!$E$5*'模板使用说明&amp;基础参数'!$E$12,IF(K659="修改",I659*'模板使用说明&amp;基础参数'!$E$5*'模板使用说明&amp;基础参数'!$E$11,I659*'模板使用说明&amp;基础参数'!$E$5*'模板使用说明&amp;基础参数'!$E$10)),IF(J659="中",IF(K659="删除",I659*'模板使用说明&amp;基础参数'!$E$6*'模板使用说明&amp;基础参数'!$E$12,IF(K659="修改",I659*'模板使用说明&amp;基础参数'!$E$6*'模板使用说明&amp;基础参数'!$E$11,I659*'模板使用说明&amp;基础参数'!$E$6*'模板使用说明&amp;基础参数'!$E$10)),IF(K659="删除",I659*'模板使用说明&amp;基础参数'!$E$7*'模板使用说明&amp;基础参数'!$E$12,IF(K659="修改",I659*'模板使用说明&amp;基础参数'!$E$7*'模板使用说明&amp;基础参数'!$E$11,I659*'模板使用说明&amp;基础参数'!$E$7*'模板使用说明&amp;基础参数'!$E$10)))))</f>
        <v>1.06666666666667</v>
      </c>
      <c r="M659" s="95"/>
      <c r="N659" s="99"/>
      <c r="O659" s="100"/>
    </row>
    <row r="660" s="70" customFormat="1" ht="25" customHeight="1" spans="1:15">
      <c r="A660" s="93">
        <v>655</v>
      </c>
      <c r="B660" s="94" t="s">
        <v>72</v>
      </c>
      <c r="C660" s="95" t="s">
        <v>276</v>
      </c>
      <c r="D660" s="95" t="s">
        <v>277</v>
      </c>
      <c r="E660" s="95" t="s">
        <v>277</v>
      </c>
      <c r="F660" s="95" t="s">
        <v>1410</v>
      </c>
      <c r="G660" s="95" t="s">
        <v>1411</v>
      </c>
      <c r="H660" s="93" t="s">
        <v>84</v>
      </c>
      <c r="I660" s="96">
        <f>IF(H660="ILF",IF($C$1="预估功能点",'模板使用说明&amp;基础参数'!$E$15,7),IF(H660="EIF",IF($C$1="预估功能点",'模板使用说明&amp;基础参数'!$E$16,5),IF(H660="EI",IF($C$1="预估功能点",'模板使用说明&amp;基础参数'!$E$17,'模板使用说明&amp;基础参数'!$E$24),IF(H660="EO",IF($C$1="预估功能点",'模板使用说明&amp;基础参数'!$E$18,'模板使用说明&amp;基础参数'!$E$25),IF(H660="EQ",IF($C$1="预估功能点",'模板使用说明&amp;基础参数'!$E$19,'模板使用说明&amp;基础参数'!$E$26),"")))))</f>
        <v>4</v>
      </c>
      <c r="J660" s="97" t="s">
        <v>38</v>
      </c>
      <c r="K660" s="97" t="s">
        <v>78</v>
      </c>
      <c r="L660" s="98">
        <f>IF(I660="","",IF(J660="高",IF(K660="删除",I660*'模板使用说明&amp;基础参数'!$E$5*'模板使用说明&amp;基础参数'!$E$12,IF(K660="修改",I660*'模板使用说明&amp;基础参数'!$E$5*'模板使用说明&amp;基础参数'!$E$11,I660*'模板使用说明&amp;基础参数'!$E$5*'模板使用说明&amp;基础参数'!$E$10)),IF(J660="中",IF(K660="删除",I660*'模板使用说明&amp;基础参数'!$E$6*'模板使用说明&amp;基础参数'!$E$12,IF(K660="修改",I660*'模板使用说明&amp;基础参数'!$E$6*'模板使用说明&amp;基础参数'!$E$11,I660*'模板使用说明&amp;基础参数'!$E$6*'模板使用说明&amp;基础参数'!$E$10)),IF(K660="删除",I660*'模板使用说明&amp;基础参数'!$E$7*'模板使用说明&amp;基础参数'!$E$12,IF(K660="修改",I660*'模板使用说明&amp;基础参数'!$E$7*'模板使用说明&amp;基础参数'!$E$11,I660*'模板使用说明&amp;基础参数'!$E$7*'模板使用说明&amp;基础参数'!$E$10)))))</f>
        <v>1.06666666666667</v>
      </c>
      <c r="M660" s="95"/>
      <c r="N660" s="99"/>
      <c r="O660" s="100"/>
    </row>
    <row r="661" s="70" customFormat="1" ht="25" customHeight="1" spans="1:15">
      <c r="A661" s="93">
        <v>656</v>
      </c>
      <c r="B661" s="94" t="s">
        <v>72</v>
      </c>
      <c r="C661" s="95" t="s">
        <v>276</v>
      </c>
      <c r="D661" s="95" t="s">
        <v>277</v>
      </c>
      <c r="E661" s="95" t="s">
        <v>277</v>
      </c>
      <c r="F661" s="95" t="s">
        <v>1412</v>
      </c>
      <c r="G661" s="95" t="s">
        <v>1413</v>
      </c>
      <c r="H661" s="93" t="s">
        <v>77</v>
      </c>
      <c r="I661" s="96">
        <f>IF(H661="ILF",IF($C$1="预估功能点",'模板使用说明&amp;基础参数'!$E$15,7),IF(H661="EIF",IF($C$1="预估功能点",'模板使用说明&amp;基础参数'!$E$16,5),IF(H661="EI",IF($C$1="预估功能点",'模板使用说明&amp;基础参数'!$E$17,'模板使用说明&amp;基础参数'!$E$24),IF(H661="EO",IF($C$1="预估功能点",'模板使用说明&amp;基础参数'!$E$18,'模板使用说明&amp;基础参数'!$E$25),IF(H661="EQ",IF($C$1="预估功能点",'模板使用说明&amp;基础参数'!$E$19,'模板使用说明&amp;基础参数'!$E$26),"")))))</f>
        <v>7</v>
      </c>
      <c r="J661" s="97" t="s">
        <v>38</v>
      </c>
      <c r="K661" s="97" t="s">
        <v>78</v>
      </c>
      <c r="L661" s="98">
        <f>IF(I661="","",IF(J661="高",IF(K661="删除",I661*'模板使用说明&amp;基础参数'!$E$5*'模板使用说明&amp;基础参数'!$E$12,IF(K661="修改",I661*'模板使用说明&amp;基础参数'!$E$5*'模板使用说明&amp;基础参数'!$E$11,I661*'模板使用说明&amp;基础参数'!$E$5*'模板使用说明&amp;基础参数'!$E$10)),IF(J661="中",IF(K661="删除",I661*'模板使用说明&amp;基础参数'!$E$6*'模板使用说明&amp;基础参数'!$E$12,IF(K661="修改",I661*'模板使用说明&amp;基础参数'!$E$6*'模板使用说明&amp;基础参数'!$E$11,I661*'模板使用说明&amp;基础参数'!$E$6*'模板使用说明&amp;基础参数'!$E$10)),IF(K661="删除",I661*'模板使用说明&amp;基础参数'!$E$7*'模板使用说明&amp;基础参数'!$E$12,IF(K661="修改",I661*'模板使用说明&amp;基础参数'!$E$7*'模板使用说明&amp;基础参数'!$E$11,I661*'模板使用说明&amp;基础参数'!$E$7*'模板使用说明&amp;基础参数'!$E$10)))))</f>
        <v>1.86666666666666</v>
      </c>
      <c r="M661" s="95"/>
      <c r="N661" s="99"/>
      <c r="O661" s="100"/>
    </row>
    <row r="662" s="70" customFormat="1" ht="25" customHeight="1" spans="1:15">
      <c r="A662" s="93">
        <v>657</v>
      </c>
      <c r="B662" s="94" t="s">
        <v>72</v>
      </c>
      <c r="C662" s="95" t="s">
        <v>276</v>
      </c>
      <c r="D662" s="95" t="s">
        <v>277</v>
      </c>
      <c r="E662" s="95" t="s">
        <v>277</v>
      </c>
      <c r="F662" s="95" t="s">
        <v>1414</v>
      </c>
      <c r="G662" s="95" t="s">
        <v>1415</v>
      </c>
      <c r="H662" s="93" t="s">
        <v>81</v>
      </c>
      <c r="I662" s="96">
        <f>IF(H662="ILF",IF($C$1="预估功能点",'模板使用说明&amp;基础参数'!$E$15,7),IF(H662="EIF",IF($C$1="预估功能点",'模板使用说明&amp;基础参数'!$E$16,5),IF(H662="EI",IF($C$1="预估功能点",'模板使用说明&amp;基础参数'!$E$17,'模板使用说明&amp;基础参数'!$E$24),IF(H662="EO",IF($C$1="预估功能点",'模板使用说明&amp;基础参数'!$E$18,'模板使用说明&amp;基础参数'!$E$25),IF(H662="EQ",IF($C$1="预估功能点",'模板使用说明&amp;基础参数'!$E$19,'模板使用说明&amp;基础参数'!$E$26),"")))))</f>
        <v>4</v>
      </c>
      <c r="J662" s="97" t="s">
        <v>38</v>
      </c>
      <c r="K662" s="97" t="s">
        <v>78</v>
      </c>
      <c r="L662" s="98">
        <f>IF(I662="","",IF(J662="高",IF(K662="删除",I662*'模板使用说明&amp;基础参数'!$E$5*'模板使用说明&amp;基础参数'!$E$12,IF(K662="修改",I662*'模板使用说明&amp;基础参数'!$E$5*'模板使用说明&amp;基础参数'!$E$11,I662*'模板使用说明&amp;基础参数'!$E$5*'模板使用说明&amp;基础参数'!$E$10)),IF(J662="中",IF(K662="删除",I662*'模板使用说明&amp;基础参数'!$E$6*'模板使用说明&amp;基础参数'!$E$12,IF(K662="修改",I662*'模板使用说明&amp;基础参数'!$E$6*'模板使用说明&amp;基础参数'!$E$11,I662*'模板使用说明&amp;基础参数'!$E$6*'模板使用说明&amp;基础参数'!$E$10)),IF(K662="删除",I662*'模板使用说明&amp;基础参数'!$E$7*'模板使用说明&amp;基础参数'!$E$12,IF(K662="修改",I662*'模板使用说明&amp;基础参数'!$E$7*'模板使用说明&amp;基础参数'!$E$11,I662*'模板使用说明&amp;基础参数'!$E$7*'模板使用说明&amp;基础参数'!$E$10)))))</f>
        <v>1.06666666666667</v>
      </c>
      <c r="M662" s="95"/>
      <c r="N662" s="99"/>
      <c r="O662" s="100"/>
    </row>
    <row r="663" s="70" customFormat="1" ht="25" customHeight="1" spans="1:15">
      <c r="A663" s="93">
        <v>658</v>
      </c>
      <c r="B663" s="94" t="s">
        <v>72</v>
      </c>
      <c r="C663" s="95" t="s">
        <v>276</v>
      </c>
      <c r="D663" s="95" t="s">
        <v>277</v>
      </c>
      <c r="E663" s="95" t="s">
        <v>277</v>
      </c>
      <c r="F663" s="95" t="s">
        <v>1416</v>
      </c>
      <c r="G663" s="95" t="s">
        <v>1417</v>
      </c>
      <c r="H663" s="93" t="s">
        <v>84</v>
      </c>
      <c r="I663" s="96">
        <f>IF(H663="ILF",IF($C$1="预估功能点",'模板使用说明&amp;基础参数'!$E$15,7),IF(H663="EIF",IF($C$1="预估功能点",'模板使用说明&amp;基础参数'!$E$16,5),IF(H663="EI",IF($C$1="预估功能点",'模板使用说明&amp;基础参数'!$E$17,'模板使用说明&amp;基础参数'!$E$24),IF(H663="EO",IF($C$1="预估功能点",'模板使用说明&amp;基础参数'!$E$18,'模板使用说明&amp;基础参数'!$E$25),IF(H663="EQ",IF($C$1="预估功能点",'模板使用说明&amp;基础参数'!$E$19,'模板使用说明&amp;基础参数'!$E$26),"")))))</f>
        <v>4</v>
      </c>
      <c r="J663" s="97" t="s">
        <v>38</v>
      </c>
      <c r="K663" s="97" t="s">
        <v>78</v>
      </c>
      <c r="L663" s="98">
        <f>IF(I663="","",IF(J663="高",IF(K663="删除",I663*'模板使用说明&amp;基础参数'!$E$5*'模板使用说明&amp;基础参数'!$E$12,IF(K663="修改",I663*'模板使用说明&amp;基础参数'!$E$5*'模板使用说明&amp;基础参数'!$E$11,I663*'模板使用说明&amp;基础参数'!$E$5*'模板使用说明&amp;基础参数'!$E$10)),IF(J663="中",IF(K663="删除",I663*'模板使用说明&amp;基础参数'!$E$6*'模板使用说明&amp;基础参数'!$E$12,IF(K663="修改",I663*'模板使用说明&amp;基础参数'!$E$6*'模板使用说明&amp;基础参数'!$E$11,I663*'模板使用说明&amp;基础参数'!$E$6*'模板使用说明&amp;基础参数'!$E$10)),IF(K663="删除",I663*'模板使用说明&amp;基础参数'!$E$7*'模板使用说明&amp;基础参数'!$E$12,IF(K663="修改",I663*'模板使用说明&amp;基础参数'!$E$7*'模板使用说明&amp;基础参数'!$E$11,I663*'模板使用说明&amp;基础参数'!$E$7*'模板使用说明&amp;基础参数'!$E$10)))))</f>
        <v>1.06666666666667</v>
      </c>
      <c r="M663" s="95"/>
      <c r="N663" s="99"/>
      <c r="O663" s="100"/>
    </row>
    <row r="664" s="70" customFormat="1" ht="25" customHeight="1" spans="1:15">
      <c r="A664" s="93">
        <v>659</v>
      </c>
      <c r="B664" s="94" t="s">
        <v>72</v>
      </c>
      <c r="C664" s="95" t="s">
        <v>276</v>
      </c>
      <c r="D664" s="95" t="s">
        <v>277</v>
      </c>
      <c r="E664" s="95" t="s">
        <v>277</v>
      </c>
      <c r="F664" s="95" t="s">
        <v>1418</v>
      </c>
      <c r="G664" s="95" t="s">
        <v>1419</v>
      </c>
      <c r="H664" s="93" t="s">
        <v>84</v>
      </c>
      <c r="I664" s="96">
        <f>IF(H664="ILF",IF($C$1="预估功能点",'模板使用说明&amp;基础参数'!$E$15,7),IF(H664="EIF",IF($C$1="预估功能点",'模板使用说明&amp;基础参数'!$E$16,5),IF(H664="EI",IF($C$1="预估功能点",'模板使用说明&amp;基础参数'!$E$17,'模板使用说明&amp;基础参数'!$E$24),IF(H664="EO",IF($C$1="预估功能点",'模板使用说明&amp;基础参数'!$E$18,'模板使用说明&amp;基础参数'!$E$25),IF(H664="EQ",IF($C$1="预估功能点",'模板使用说明&amp;基础参数'!$E$19,'模板使用说明&amp;基础参数'!$E$26),"")))))</f>
        <v>4</v>
      </c>
      <c r="J664" s="97" t="s">
        <v>38</v>
      </c>
      <c r="K664" s="97" t="s">
        <v>78</v>
      </c>
      <c r="L664" s="98">
        <f>IF(I664="","",IF(J664="高",IF(K664="删除",I664*'模板使用说明&amp;基础参数'!$E$5*'模板使用说明&amp;基础参数'!$E$12,IF(K664="修改",I664*'模板使用说明&amp;基础参数'!$E$5*'模板使用说明&amp;基础参数'!$E$11,I664*'模板使用说明&amp;基础参数'!$E$5*'模板使用说明&amp;基础参数'!$E$10)),IF(J664="中",IF(K664="删除",I664*'模板使用说明&amp;基础参数'!$E$6*'模板使用说明&amp;基础参数'!$E$12,IF(K664="修改",I664*'模板使用说明&amp;基础参数'!$E$6*'模板使用说明&amp;基础参数'!$E$11,I664*'模板使用说明&amp;基础参数'!$E$6*'模板使用说明&amp;基础参数'!$E$10)),IF(K664="删除",I664*'模板使用说明&amp;基础参数'!$E$7*'模板使用说明&amp;基础参数'!$E$12,IF(K664="修改",I664*'模板使用说明&amp;基础参数'!$E$7*'模板使用说明&amp;基础参数'!$E$11,I664*'模板使用说明&amp;基础参数'!$E$7*'模板使用说明&amp;基础参数'!$E$10)))))</f>
        <v>1.06666666666667</v>
      </c>
      <c r="M664" s="95"/>
      <c r="N664" s="99"/>
      <c r="O664" s="100"/>
    </row>
    <row r="665" s="70" customFormat="1" ht="25" customHeight="1" spans="1:15">
      <c r="A665" s="93">
        <v>660</v>
      </c>
      <c r="B665" s="94" t="s">
        <v>72</v>
      </c>
      <c r="C665" s="95" t="s">
        <v>276</v>
      </c>
      <c r="D665" s="95" t="s">
        <v>277</v>
      </c>
      <c r="E665" s="95" t="s">
        <v>277</v>
      </c>
      <c r="F665" s="95" t="s">
        <v>1420</v>
      </c>
      <c r="G665" s="95" t="s">
        <v>1421</v>
      </c>
      <c r="H665" s="93" t="s">
        <v>84</v>
      </c>
      <c r="I665" s="96">
        <f>IF(H665="ILF",IF($C$1="预估功能点",'模板使用说明&amp;基础参数'!$E$15,7),IF(H665="EIF",IF($C$1="预估功能点",'模板使用说明&amp;基础参数'!$E$16,5),IF(H665="EI",IF($C$1="预估功能点",'模板使用说明&amp;基础参数'!$E$17,'模板使用说明&amp;基础参数'!$E$24),IF(H665="EO",IF($C$1="预估功能点",'模板使用说明&amp;基础参数'!$E$18,'模板使用说明&amp;基础参数'!$E$25),IF(H665="EQ",IF($C$1="预估功能点",'模板使用说明&amp;基础参数'!$E$19,'模板使用说明&amp;基础参数'!$E$26),"")))))</f>
        <v>4</v>
      </c>
      <c r="J665" s="97" t="s">
        <v>38</v>
      </c>
      <c r="K665" s="97" t="s">
        <v>78</v>
      </c>
      <c r="L665" s="98">
        <f>IF(I665="","",IF(J665="高",IF(K665="删除",I665*'模板使用说明&amp;基础参数'!$E$5*'模板使用说明&amp;基础参数'!$E$12,IF(K665="修改",I665*'模板使用说明&amp;基础参数'!$E$5*'模板使用说明&amp;基础参数'!$E$11,I665*'模板使用说明&amp;基础参数'!$E$5*'模板使用说明&amp;基础参数'!$E$10)),IF(J665="中",IF(K665="删除",I665*'模板使用说明&amp;基础参数'!$E$6*'模板使用说明&amp;基础参数'!$E$12,IF(K665="修改",I665*'模板使用说明&amp;基础参数'!$E$6*'模板使用说明&amp;基础参数'!$E$11,I665*'模板使用说明&amp;基础参数'!$E$6*'模板使用说明&amp;基础参数'!$E$10)),IF(K665="删除",I665*'模板使用说明&amp;基础参数'!$E$7*'模板使用说明&amp;基础参数'!$E$12,IF(K665="修改",I665*'模板使用说明&amp;基础参数'!$E$7*'模板使用说明&amp;基础参数'!$E$11,I665*'模板使用说明&amp;基础参数'!$E$7*'模板使用说明&amp;基础参数'!$E$10)))))</f>
        <v>1.06666666666667</v>
      </c>
      <c r="M665" s="95"/>
      <c r="N665" s="99"/>
      <c r="O665" s="100"/>
    </row>
    <row r="666" s="70" customFormat="1" ht="25" customHeight="1" spans="1:15">
      <c r="A666" s="93">
        <v>661</v>
      </c>
      <c r="B666" s="94" t="s">
        <v>72</v>
      </c>
      <c r="C666" s="95" t="s">
        <v>276</v>
      </c>
      <c r="D666" s="95" t="s">
        <v>277</v>
      </c>
      <c r="E666" s="95" t="s">
        <v>277</v>
      </c>
      <c r="F666" s="95" t="s">
        <v>1422</v>
      </c>
      <c r="G666" s="95" t="s">
        <v>1423</v>
      </c>
      <c r="H666" s="93" t="s">
        <v>77</v>
      </c>
      <c r="I666" s="96">
        <f>IF(H666="ILF",IF($C$1="预估功能点",'模板使用说明&amp;基础参数'!$E$15,7),IF(H666="EIF",IF($C$1="预估功能点",'模板使用说明&amp;基础参数'!$E$16,5),IF(H666="EI",IF($C$1="预估功能点",'模板使用说明&amp;基础参数'!$E$17,'模板使用说明&amp;基础参数'!$E$24),IF(H666="EO",IF($C$1="预估功能点",'模板使用说明&amp;基础参数'!$E$18,'模板使用说明&amp;基础参数'!$E$25),IF(H666="EQ",IF($C$1="预估功能点",'模板使用说明&amp;基础参数'!$E$19,'模板使用说明&amp;基础参数'!$E$26),"")))))</f>
        <v>7</v>
      </c>
      <c r="J666" s="97" t="s">
        <v>38</v>
      </c>
      <c r="K666" s="97" t="s">
        <v>78</v>
      </c>
      <c r="L666" s="98">
        <f>IF(I666="","",IF(J666="高",IF(K666="删除",I666*'模板使用说明&amp;基础参数'!$E$5*'模板使用说明&amp;基础参数'!$E$12,IF(K666="修改",I666*'模板使用说明&amp;基础参数'!$E$5*'模板使用说明&amp;基础参数'!$E$11,I666*'模板使用说明&amp;基础参数'!$E$5*'模板使用说明&amp;基础参数'!$E$10)),IF(J666="中",IF(K666="删除",I666*'模板使用说明&amp;基础参数'!$E$6*'模板使用说明&amp;基础参数'!$E$12,IF(K666="修改",I666*'模板使用说明&amp;基础参数'!$E$6*'模板使用说明&amp;基础参数'!$E$11,I666*'模板使用说明&amp;基础参数'!$E$6*'模板使用说明&amp;基础参数'!$E$10)),IF(K666="删除",I666*'模板使用说明&amp;基础参数'!$E$7*'模板使用说明&amp;基础参数'!$E$12,IF(K666="修改",I666*'模板使用说明&amp;基础参数'!$E$7*'模板使用说明&amp;基础参数'!$E$11,I666*'模板使用说明&amp;基础参数'!$E$7*'模板使用说明&amp;基础参数'!$E$10)))))</f>
        <v>1.86666666666666</v>
      </c>
      <c r="M666" s="95"/>
      <c r="N666" s="99"/>
      <c r="O666" s="100"/>
    </row>
    <row r="667" s="70" customFormat="1" ht="25" customHeight="1" spans="1:15">
      <c r="A667" s="93">
        <v>662</v>
      </c>
      <c r="B667" s="94" t="s">
        <v>72</v>
      </c>
      <c r="C667" s="95" t="s">
        <v>276</v>
      </c>
      <c r="D667" s="95" t="s">
        <v>277</v>
      </c>
      <c r="E667" s="95" t="s">
        <v>277</v>
      </c>
      <c r="F667" s="95" t="s">
        <v>1424</v>
      </c>
      <c r="G667" s="95" t="s">
        <v>1425</v>
      </c>
      <c r="H667" s="93" t="s">
        <v>81</v>
      </c>
      <c r="I667" s="96">
        <f>IF(H667="ILF",IF($C$1="预估功能点",'模板使用说明&amp;基础参数'!$E$15,7),IF(H667="EIF",IF($C$1="预估功能点",'模板使用说明&amp;基础参数'!$E$16,5),IF(H667="EI",IF($C$1="预估功能点",'模板使用说明&amp;基础参数'!$E$17,'模板使用说明&amp;基础参数'!$E$24),IF(H667="EO",IF($C$1="预估功能点",'模板使用说明&amp;基础参数'!$E$18,'模板使用说明&amp;基础参数'!$E$25),IF(H667="EQ",IF($C$1="预估功能点",'模板使用说明&amp;基础参数'!$E$19,'模板使用说明&amp;基础参数'!$E$26),"")))))</f>
        <v>4</v>
      </c>
      <c r="J667" s="97" t="s">
        <v>38</v>
      </c>
      <c r="K667" s="97" t="s">
        <v>78</v>
      </c>
      <c r="L667" s="98">
        <f>IF(I667="","",IF(J667="高",IF(K667="删除",I667*'模板使用说明&amp;基础参数'!$E$5*'模板使用说明&amp;基础参数'!$E$12,IF(K667="修改",I667*'模板使用说明&amp;基础参数'!$E$5*'模板使用说明&amp;基础参数'!$E$11,I667*'模板使用说明&amp;基础参数'!$E$5*'模板使用说明&amp;基础参数'!$E$10)),IF(J667="中",IF(K667="删除",I667*'模板使用说明&amp;基础参数'!$E$6*'模板使用说明&amp;基础参数'!$E$12,IF(K667="修改",I667*'模板使用说明&amp;基础参数'!$E$6*'模板使用说明&amp;基础参数'!$E$11,I667*'模板使用说明&amp;基础参数'!$E$6*'模板使用说明&amp;基础参数'!$E$10)),IF(K667="删除",I667*'模板使用说明&amp;基础参数'!$E$7*'模板使用说明&amp;基础参数'!$E$12,IF(K667="修改",I667*'模板使用说明&amp;基础参数'!$E$7*'模板使用说明&amp;基础参数'!$E$11,I667*'模板使用说明&amp;基础参数'!$E$7*'模板使用说明&amp;基础参数'!$E$10)))))</f>
        <v>1.06666666666667</v>
      </c>
      <c r="M667" s="95"/>
      <c r="N667" s="99"/>
      <c r="O667" s="100"/>
    </row>
    <row r="668" s="70" customFormat="1" ht="25" customHeight="1" spans="1:15">
      <c r="A668" s="93">
        <v>663</v>
      </c>
      <c r="B668" s="94" t="s">
        <v>72</v>
      </c>
      <c r="C668" s="95" t="s">
        <v>276</v>
      </c>
      <c r="D668" s="95" t="s">
        <v>277</v>
      </c>
      <c r="E668" s="95" t="s">
        <v>277</v>
      </c>
      <c r="F668" s="95" t="s">
        <v>1426</v>
      </c>
      <c r="G668" s="95" t="s">
        <v>1427</v>
      </c>
      <c r="H668" s="93" t="s">
        <v>84</v>
      </c>
      <c r="I668" s="96">
        <f>IF(H668="ILF",IF($C$1="预估功能点",'模板使用说明&amp;基础参数'!$E$15,7),IF(H668="EIF",IF($C$1="预估功能点",'模板使用说明&amp;基础参数'!$E$16,5),IF(H668="EI",IF($C$1="预估功能点",'模板使用说明&amp;基础参数'!$E$17,'模板使用说明&amp;基础参数'!$E$24),IF(H668="EO",IF($C$1="预估功能点",'模板使用说明&amp;基础参数'!$E$18,'模板使用说明&amp;基础参数'!$E$25),IF(H668="EQ",IF($C$1="预估功能点",'模板使用说明&amp;基础参数'!$E$19,'模板使用说明&amp;基础参数'!$E$26),"")))))</f>
        <v>4</v>
      </c>
      <c r="J668" s="97" t="s">
        <v>38</v>
      </c>
      <c r="K668" s="97" t="s">
        <v>78</v>
      </c>
      <c r="L668" s="98">
        <f>IF(I668="","",IF(J668="高",IF(K668="删除",I668*'模板使用说明&amp;基础参数'!$E$5*'模板使用说明&amp;基础参数'!$E$12,IF(K668="修改",I668*'模板使用说明&amp;基础参数'!$E$5*'模板使用说明&amp;基础参数'!$E$11,I668*'模板使用说明&amp;基础参数'!$E$5*'模板使用说明&amp;基础参数'!$E$10)),IF(J668="中",IF(K668="删除",I668*'模板使用说明&amp;基础参数'!$E$6*'模板使用说明&amp;基础参数'!$E$12,IF(K668="修改",I668*'模板使用说明&amp;基础参数'!$E$6*'模板使用说明&amp;基础参数'!$E$11,I668*'模板使用说明&amp;基础参数'!$E$6*'模板使用说明&amp;基础参数'!$E$10)),IF(K668="删除",I668*'模板使用说明&amp;基础参数'!$E$7*'模板使用说明&amp;基础参数'!$E$12,IF(K668="修改",I668*'模板使用说明&amp;基础参数'!$E$7*'模板使用说明&amp;基础参数'!$E$11,I668*'模板使用说明&amp;基础参数'!$E$7*'模板使用说明&amp;基础参数'!$E$10)))))</f>
        <v>1.06666666666667</v>
      </c>
      <c r="M668" s="95"/>
      <c r="N668" s="99"/>
      <c r="O668" s="100"/>
    </row>
    <row r="669" s="70" customFormat="1" ht="25" customHeight="1" spans="1:15">
      <c r="A669" s="93">
        <v>664</v>
      </c>
      <c r="B669" s="94" t="s">
        <v>72</v>
      </c>
      <c r="C669" s="95" t="s">
        <v>276</v>
      </c>
      <c r="D669" s="95" t="s">
        <v>277</v>
      </c>
      <c r="E669" s="95" t="s">
        <v>277</v>
      </c>
      <c r="F669" s="95" t="s">
        <v>1428</v>
      </c>
      <c r="G669" s="95" t="s">
        <v>1429</v>
      </c>
      <c r="H669" s="93" t="s">
        <v>84</v>
      </c>
      <c r="I669" s="96">
        <f>IF(H669="ILF",IF($C$1="预估功能点",'模板使用说明&amp;基础参数'!$E$15,7),IF(H669="EIF",IF($C$1="预估功能点",'模板使用说明&amp;基础参数'!$E$16,5),IF(H669="EI",IF($C$1="预估功能点",'模板使用说明&amp;基础参数'!$E$17,'模板使用说明&amp;基础参数'!$E$24),IF(H669="EO",IF($C$1="预估功能点",'模板使用说明&amp;基础参数'!$E$18,'模板使用说明&amp;基础参数'!$E$25),IF(H669="EQ",IF($C$1="预估功能点",'模板使用说明&amp;基础参数'!$E$19,'模板使用说明&amp;基础参数'!$E$26),"")))))</f>
        <v>4</v>
      </c>
      <c r="J669" s="97" t="s">
        <v>38</v>
      </c>
      <c r="K669" s="97" t="s">
        <v>78</v>
      </c>
      <c r="L669" s="98">
        <f>IF(I669="","",IF(J669="高",IF(K669="删除",I669*'模板使用说明&amp;基础参数'!$E$5*'模板使用说明&amp;基础参数'!$E$12,IF(K669="修改",I669*'模板使用说明&amp;基础参数'!$E$5*'模板使用说明&amp;基础参数'!$E$11,I669*'模板使用说明&amp;基础参数'!$E$5*'模板使用说明&amp;基础参数'!$E$10)),IF(J669="中",IF(K669="删除",I669*'模板使用说明&amp;基础参数'!$E$6*'模板使用说明&amp;基础参数'!$E$12,IF(K669="修改",I669*'模板使用说明&amp;基础参数'!$E$6*'模板使用说明&amp;基础参数'!$E$11,I669*'模板使用说明&amp;基础参数'!$E$6*'模板使用说明&amp;基础参数'!$E$10)),IF(K669="删除",I669*'模板使用说明&amp;基础参数'!$E$7*'模板使用说明&amp;基础参数'!$E$12,IF(K669="修改",I669*'模板使用说明&amp;基础参数'!$E$7*'模板使用说明&amp;基础参数'!$E$11,I669*'模板使用说明&amp;基础参数'!$E$7*'模板使用说明&amp;基础参数'!$E$10)))))</f>
        <v>1.06666666666667</v>
      </c>
      <c r="M669" s="95"/>
      <c r="N669" s="99"/>
      <c r="O669" s="100"/>
    </row>
    <row r="670" s="70" customFormat="1" ht="25" customHeight="1" spans="1:15">
      <c r="A670" s="93">
        <v>665</v>
      </c>
      <c r="B670" s="94" t="s">
        <v>72</v>
      </c>
      <c r="C670" s="95" t="s">
        <v>276</v>
      </c>
      <c r="D670" s="95" t="s">
        <v>277</v>
      </c>
      <c r="E670" s="95" t="s">
        <v>277</v>
      </c>
      <c r="F670" s="95" t="s">
        <v>1430</v>
      </c>
      <c r="G670" s="95" t="s">
        <v>1431</v>
      </c>
      <c r="H670" s="93" t="s">
        <v>84</v>
      </c>
      <c r="I670" s="96">
        <f>IF(H670="ILF",IF($C$1="预估功能点",'模板使用说明&amp;基础参数'!$E$15,7),IF(H670="EIF",IF($C$1="预估功能点",'模板使用说明&amp;基础参数'!$E$16,5),IF(H670="EI",IF($C$1="预估功能点",'模板使用说明&amp;基础参数'!$E$17,'模板使用说明&amp;基础参数'!$E$24),IF(H670="EO",IF($C$1="预估功能点",'模板使用说明&amp;基础参数'!$E$18,'模板使用说明&amp;基础参数'!$E$25),IF(H670="EQ",IF($C$1="预估功能点",'模板使用说明&amp;基础参数'!$E$19,'模板使用说明&amp;基础参数'!$E$26),"")))))</f>
        <v>4</v>
      </c>
      <c r="J670" s="97" t="s">
        <v>38</v>
      </c>
      <c r="K670" s="97" t="s">
        <v>78</v>
      </c>
      <c r="L670" s="98">
        <f>IF(I670="","",IF(J670="高",IF(K670="删除",I670*'模板使用说明&amp;基础参数'!$E$5*'模板使用说明&amp;基础参数'!$E$12,IF(K670="修改",I670*'模板使用说明&amp;基础参数'!$E$5*'模板使用说明&amp;基础参数'!$E$11,I670*'模板使用说明&amp;基础参数'!$E$5*'模板使用说明&amp;基础参数'!$E$10)),IF(J670="中",IF(K670="删除",I670*'模板使用说明&amp;基础参数'!$E$6*'模板使用说明&amp;基础参数'!$E$12,IF(K670="修改",I670*'模板使用说明&amp;基础参数'!$E$6*'模板使用说明&amp;基础参数'!$E$11,I670*'模板使用说明&amp;基础参数'!$E$6*'模板使用说明&amp;基础参数'!$E$10)),IF(K670="删除",I670*'模板使用说明&amp;基础参数'!$E$7*'模板使用说明&amp;基础参数'!$E$12,IF(K670="修改",I670*'模板使用说明&amp;基础参数'!$E$7*'模板使用说明&amp;基础参数'!$E$11,I670*'模板使用说明&amp;基础参数'!$E$7*'模板使用说明&amp;基础参数'!$E$10)))))</f>
        <v>1.06666666666667</v>
      </c>
      <c r="M670" s="95"/>
      <c r="N670" s="99"/>
      <c r="O670" s="100"/>
    </row>
    <row r="671" s="70" customFormat="1" ht="25" customHeight="1" spans="1:15">
      <c r="A671" s="93">
        <v>666</v>
      </c>
      <c r="B671" s="94" t="s">
        <v>72</v>
      </c>
      <c r="C671" s="95" t="s">
        <v>129</v>
      </c>
      <c r="D671" s="95" t="s">
        <v>130</v>
      </c>
      <c r="E671" s="95" t="s">
        <v>130</v>
      </c>
      <c r="F671" s="95" t="s">
        <v>1432</v>
      </c>
      <c r="G671" s="95" t="s">
        <v>1433</v>
      </c>
      <c r="H671" s="93" t="s">
        <v>77</v>
      </c>
      <c r="I671" s="96">
        <f>IF(H671="ILF",IF($C$1="预估功能点",'模板使用说明&amp;基础参数'!$E$15,7),IF(H671="EIF",IF($C$1="预估功能点",'模板使用说明&amp;基础参数'!$E$16,5),IF(H671="EI",IF($C$1="预估功能点",'模板使用说明&amp;基础参数'!$E$17,'模板使用说明&amp;基础参数'!$E$24),IF(H671="EO",IF($C$1="预估功能点",'模板使用说明&amp;基础参数'!$E$18,'模板使用说明&amp;基础参数'!$E$25),IF(H671="EQ",IF($C$1="预估功能点",'模板使用说明&amp;基础参数'!$E$19,'模板使用说明&amp;基础参数'!$E$26),"")))))</f>
        <v>7</v>
      </c>
      <c r="J671" s="97" t="s">
        <v>38</v>
      </c>
      <c r="K671" s="97" t="s">
        <v>78</v>
      </c>
      <c r="L671" s="98">
        <f>IF(I671="","",IF(J671="高",IF(K671="删除",I671*'模板使用说明&amp;基础参数'!$E$5*'模板使用说明&amp;基础参数'!$E$12,IF(K671="修改",I671*'模板使用说明&amp;基础参数'!$E$5*'模板使用说明&amp;基础参数'!$E$11,I671*'模板使用说明&amp;基础参数'!$E$5*'模板使用说明&amp;基础参数'!$E$10)),IF(J671="中",IF(K671="删除",I671*'模板使用说明&amp;基础参数'!$E$6*'模板使用说明&amp;基础参数'!$E$12,IF(K671="修改",I671*'模板使用说明&amp;基础参数'!$E$6*'模板使用说明&amp;基础参数'!$E$11,I671*'模板使用说明&amp;基础参数'!$E$6*'模板使用说明&amp;基础参数'!$E$10)),IF(K671="删除",I671*'模板使用说明&amp;基础参数'!$E$7*'模板使用说明&amp;基础参数'!$E$12,IF(K671="修改",I671*'模板使用说明&amp;基础参数'!$E$7*'模板使用说明&amp;基础参数'!$E$11,I671*'模板使用说明&amp;基础参数'!$E$7*'模板使用说明&amp;基础参数'!$E$10)))))</f>
        <v>1.86666666666666</v>
      </c>
      <c r="M671" s="95"/>
      <c r="N671" s="99"/>
      <c r="O671" s="100"/>
    </row>
    <row r="672" s="70" customFormat="1" ht="25" customHeight="1" spans="1:15">
      <c r="A672" s="93">
        <v>667</v>
      </c>
      <c r="B672" s="94" t="s">
        <v>72</v>
      </c>
      <c r="C672" s="95" t="s">
        <v>129</v>
      </c>
      <c r="D672" s="95" t="s">
        <v>130</v>
      </c>
      <c r="E672" s="95" t="s">
        <v>130</v>
      </c>
      <c r="F672" s="95" t="s">
        <v>1434</v>
      </c>
      <c r="G672" s="101" t="s">
        <v>1435</v>
      </c>
      <c r="H672" s="93" t="s">
        <v>135</v>
      </c>
      <c r="I672" s="96">
        <f>IF(H672="ILF",IF($C$1="预估功能点",'模板使用说明&amp;基础参数'!$E$15,7),IF(H672="EIF",IF($C$1="预估功能点",'模板使用说明&amp;基础参数'!$E$16,5),IF(H672="EI",IF($C$1="预估功能点",'模板使用说明&amp;基础参数'!$E$17,'模板使用说明&amp;基础参数'!$E$24),IF(H672="EO",IF($C$1="预估功能点",'模板使用说明&amp;基础参数'!$E$18,'模板使用说明&amp;基础参数'!$E$25),IF(H672="EQ",IF($C$1="预估功能点",'模板使用说明&amp;基础参数'!$E$19,'模板使用说明&amp;基础参数'!$E$26),"")))))</f>
        <v>5</v>
      </c>
      <c r="J672" s="97" t="s">
        <v>38</v>
      </c>
      <c r="K672" s="97" t="s">
        <v>78</v>
      </c>
      <c r="L672" s="98">
        <f>IF(I672="","",IF(J672="高",IF(K672="删除",I672*'模板使用说明&amp;基础参数'!$E$5*'模板使用说明&amp;基础参数'!$E$12,IF(K672="修改",I672*'模板使用说明&amp;基础参数'!$E$5*'模板使用说明&amp;基础参数'!$E$11,I672*'模板使用说明&amp;基础参数'!$E$5*'模板使用说明&amp;基础参数'!$E$10)),IF(J672="中",IF(K672="删除",I672*'模板使用说明&amp;基础参数'!$E$6*'模板使用说明&amp;基础参数'!$E$12,IF(K672="修改",I672*'模板使用说明&amp;基础参数'!$E$6*'模板使用说明&amp;基础参数'!$E$11,I672*'模板使用说明&amp;基础参数'!$E$6*'模板使用说明&amp;基础参数'!$E$10)),IF(K672="删除",I672*'模板使用说明&amp;基础参数'!$E$7*'模板使用说明&amp;基础参数'!$E$12,IF(K672="修改",I672*'模板使用说明&amp;基础参数'!$E$7*'模板使用说明&amp;基础参数'!$E$11,I672*'模板使用说明&amp;基础参数'!$E$7*'模板使用说明&amp;基础参数'!$E$10)))))</f>
        <v>1.33333333333333</v>
      </c>
      <c r="M672" s="95"/>
      <c r="N672" s="99"/>
      <c r="O672" s="100"/>
    </row>
    <row r="673" s="70" customFormat="1" ht="25" customHeight="1" spans="1:15">
      <c r="A673" s="93">
        <v>668</v>
      </c>
      <c r="B673" s="94" t="s">
        <v>72</v>
      </c>
      <c r="C673" s="102" t="s">
        <v>129</v>
      </c>
      <c r="D673" s="95" t="s">
        <v>130</v>
      </c>
      <c r="E673" s="95" t="s">
        <v>130</v>
      </c>
      <c r="F673" s="101" t="s">
        <v>1436</v>
      </c>
      <c r="G673" s="95" t="s">
        <v>1437</v>
      </c>
      <c r="H673" s="93" t="s">
        <v>81</v>
      </c>
      <c r="I673" s="96">
        <f>IF(H673="ILF",IF($C$1="预估功能点",'模板使用说明&amp;基础参数'!$E$15,7),IF(H673="EIF",IF($C$1="预估功能点",'模板使用说明&amp;基础参数'!$E$16,5),IF(H673="EI",IF($C$1="预估功能点",'模板使用说明&amp;基础参数'!$E$17,'模板使用说明&amp;基础参数'!$E$24),IF(H673="EO",IF($C$1="预估功能点",'模板使用说明&amp;基础参数'!$E$18,'模板使用说明&amp;基础参数'!$E$25),IF(H673="EQ",IF($C$1="预估功能点",'模板使用说明&amp;基础参数'!$E$19,'模板使用说明&amp;基础参数'!$E$26),"")))))</f>
        <v>4</v>
      </c>
      <c r="J673" s="97" t="s">
        <v>38</v>
      </c>
      <c r="K673" s="97" t="s">
        <v>78</v>
      </c>
      <c r="L673" s="98">
        <f>IF(I673="","",IF(J673="高",IF(K673="删除",I673*'模板使用说明&amp;基础参数'!$E$5*'模板使用说明&amp;基础参数'!$E$12,IF(K673="修改",I673*'模板使用说明&amp;基础参数'!$E$5*'模板使用说明&amp;基础参数'!$E$11,I673*'模板使用说明&amp;基础参数'!$E$5*'模板使用说明&amp;基础参数'!$E$10)),IF(J673="中",IF(K673="删除",I673*'模板使用说明&amp;基础参数'!$E$6*'模板使用说明&amp;基础参数'!$E$12,IF(K673="修改",I673*'模板使用说明&amp;基础参数'!$E$6*'模板使用说明&amp;基础参数'!$E$11,I673*'模板使用说明&amp;基础参数'!$E$6*'模板使用说明&amp;基础参数'!$E$10)),IF(K673="删除",I673*'模板使用说明&amp;基础参数'!$E$7*'模板使用说明&amp;基础参数'!$E$12,IF(K673="修改",I673*'模板使用说明&amp;基础参数'!$E$7*'模板使用说明&amp;基础参数'!$E$11,I673*'模板使用说明&amp;基础参数'!$E$7*'模板使用说明&amp;基础参数'!$E$10)))))</f>
        <v>1.06666666666667</v>
      </c>
      <c r="M673" s="95"/>
      <c r="N673" s="99"/>
      <c r="O673" s="100"/>
    </row>
    <row r="674" s="70" customFormat="1" ht="25" customHeight="1" spans="1:15">
      <c r="A674" s="93">
        <v>669</v>
      </c>
      <c r="B674" s="94" t="s">
        <v>72</v>
      </c>
      <c r="C674" s="95" t="s">
        <v>129</v>
      </c>
      <c r="D674" s="95" t="s">
        <v>130</v>
      </c>
      <c r="E674" s="95" t="s">
        <v>130</v>
      </c>
      <c r="F674" s="95" t="s">
        <v>1438</v>
      </c>
      <c r="G674" s="95" t="s">
        <v>1439</v>
      </c>
      <c r="H674" s="93" t="s">
        <v>84</v>
      </c>
      <c r="I674" s="96">
        <f>IF(H674="ILF",IF($C$1="预估功能点",'模板使用说明&amp;基础参数'!$E$15,7),IF(H674="EIF",IF($C$1="预估功能点",'模板使用说明&amp;基础参数'!$E$16,5),IF(H674="EI",IF($C$1="预估功能点",'模板使用说明&amp;基础参数'!$E$17,'模板使用说明&amp;基础参数'!$E$24),IF(H674="EO",IF($C$1="预估功能点",'模板使用说明&amp;基础参数'!$E$18,'模板使用说明&amp;基础参数'!$E$25),IF(H674="EQ",IF($C$1="预估功能点",'模板使用说明&amp;基础参数'!$E$19,'模板使用说明&amp;基础参数'!$E$26),"")))))</f>
        <v>4</v>
      </c>
      <c r="J674" s="97" t="s">
        <v>38</v>
      </c>
      <c r="K674" s="97" t="s">
        <v>78</v>
      </c>
      <c r="L674" s="98">
        <f>IF(I674="","",IF(J674="高",IF(K674="删除",I674*'模板使用说明&amp;基础参数'!$E$5*'模板使用说明&amp;基础参数'!$E$12,IF(K674="修改",I674*'模板使用说明&amp;基础参数'!$E$5*'模板使用说明&amp;基础参数'!$E$11,I674*'模板使用说明&amp;基础参数'!$E$5*'模板使用说明&amp;基础参数'!$E$10)),IF(J674="中",IF(K674="删除",I674*'模板使用说明&amp;基础参数'!$E$6*'模板使用说明&amp;基础参数'!$E$12,IF(K674="修改",I674*'模板使用说明&amp;基础参数'!$E$6*'模板使用说明&amp;基础参数'!$E$11,I674*'模板使用说明&amp;基础参数'!$E$6*'模板使用说明&amp;基础参数'!$E$10)),IF(K674="删除",I674*'模板使用说明&amp;基础参数'!$E$7*'模板使用说明&amp;基础参数'!$E$12,IF(K674="修改",I674*'模板使用说明&amp;基础参数'!$E$7*'模板使用说明&amp;基础参数'!$E$11,I674*'模板使用说明&amp;基础参数'!$E$7*'模板使用说明&amp;基础参数'!$E$10)))))</f>
        <v>1.06666666666667</v>
      </c>
      <c r="M674" s="95"/>
      <c r="N674" s="99"/>
      <c r="O674" s="100"/>
    </row>
    <row r="675" s="70" customFormat="1" ht="25" customHeight="1" spans="1:15">
      <c r="A675" s="93">
        <v>670</v>
      </c>
      <c r="B675" s="94" t="s">
        <v>72</v>
      </c>
      <c r="C675" s="95" t="s">
        <v>129</v>
      </c>
      <c r="D675" s="95" t="s">
        <v>130</v>
      </c>
      <c r="E675" s="95" t="s">
        <v>130</v>
      </c>
      <c r="F675" s="95" t="s">
        <v>1440</v>
      </c>
      <c r="G675" s="95" t="s">
        <v>1441</v>
      </c>
      <c r="H675" s="93" t="s">
        <v>84</v>
      </c>
      <c r="I675" s="96">
        <f>IF(H675="ILF",IF($C$1="预估功能点",'模板使用说明&amp;基础参数'!$E$15,7),IF(H675="EIF",IF($C$1="预估功能点",'模板使用说明&amp;基础参数'!$E$16,5),IF(H675="EI",IF($C$1="预估功能点",'模板使用说明&amp;基础参数'!$E$17,'模板使用说明&amp;基础参数'!$E$24),IF(H675="EO",IF($C$1="预估功能点",'模板使用说明&amp;基础参数'!$E$18,'模板使用说明&amp;基础参数'!$E$25),IF(H675="EQ",IF($C$1="预估功能点",'模板使用说明&amp;基础参数'!$E$19,'模板使用说明&amp;基础参数'!$E$26),"")))))</f>
        <v>4</v>
      </c>
      <c r="J675" s="97" t="s">
        <v>38</v>
      </c>
      <c r="K675" s="97" t="s">
        <v>78</v>
      </c>
      <c r="L675" s="98">
        <f>IF(I675="","",IF(J675="高",IF(K675="删除",I675*'模板使用说明&amp;基础参数'!$E$5*'模板使用说明&amp;基础参数'!$E$12,IF(K675="修改",I675*'模板使用说明&amp;基础参数'!$E$5*'模板使用说明&amp;基础参数'!$E$11,I675*'模板使用说明&amp;基础参数'!$E$5*'模板使用说明&amp;基础参数'!$E$10)),IF(J675="中",IF(K675="删除",I675*'模板使用说明&amp;基础参数'!$E$6*'模板使用说明&amp;基础参数'!$E$12,IF(K675="修改",I675*'模板使用说明&amp;基础参数'!$E$6*'模板使用说明&amp;基础参数'!$E$11,I675*'模板使用说明&amp;基础参数'!$E$6*'模板使用说明&amp;基础参数'!$E$10)),IF(K675="删除",I675*'模板使用说明&amp;基础参数'!$E$7*'模板使用说明&amp;基础参数'!$E$12,IF(K675="修改",I675*'模板使用说明&amp;基础参数'!$E$7*'模板使用说明&amp;基础参数'!$E$11,I675*'模板使用说明&amp;基础参数'!$E$7*'模板使用说明&amp;基础参数'!$E$10)))))</f>
        <v>1.06666666666667</v>
      </c>
      <c r="M675" s="95"/>
      <c r="N675" s="99"/>
      <c r="O675" s="100"/>
    </row>
    <row r="676" s="70" customFormat="1" ht="25" customHeight="1" spans="1:15">
      <c r="A676" s="93">
        <v>671</v>
      </c>
      <c r="B676" s="94" t="s">
        <v>72</v>
      </c>
      <c r="C676" s="95" t="s">
        <v>129</v>
      </c>
      <c r="D676" s="95" t="s">
        <v>130</v>
      </c>
      <c r="E676" s="95" t="s">
        <v>130</v>
      </c>
      <c r="F676" s="95" t="s">
        <v>1442</v>
      </c>
      <c r="G676" s="95" t="s">
        <v>1443</v>
      </c>
      <c r="H676" s="93" t="s">
        <v>84</v>
      </c>
      <c r="I676" s="96">
        <f>IF(H676="ILF",IF($C$1="预估功能点",'模板使用说明&amp;基础参数'!$E$15,7),IF(H676="EIF",IF($C$1="预估功能点",'模板使用说明&amp;基础参数'!$E$16,5),IF(H676="EI",IF($C$1="预估功能点",'模板使用说明&amp;基础参数'!$E$17,'模板使用说明&amp;基础参数'!$E$24),IF(H676="EO",IF($C$1="预估功能点",'模板使用说明&amp;基础参数'!$E$18,'模板使用说明&amp;基础参数'!$E$25),IF(H676="EQ",IF($C$1="预估功能点",'模板使用说明&amp;基础参数'!$E$19,'模板使用说明&amp;基础参数'!$E$26),"")))))</f>
        <v>4</v>
      </c>
      <c r="J676" s="97" t="s">
        <v>38</v>
      </c>
      <c r="K676" s="97" t="s">
        <v>78</v>
      </c>
      <c r="L676" s="98">
        <f>IF(I676="","",IF(J676="高",IF(K676="删除",I676*'模板使用说明&amp;基础参数'!$E$5*'模板使用说明&amp;基础参数'!$E$12,IF(K676="修改",I676*'模板使用说明&amp;基础参数'!$E$5*'模板使用说明&amp;基础参数'!$E$11,I676*'模板使用说明&amp;基础参数'!$E$5*'模板使用说明&amp;基础参数'!$E$10)),IF(J676="中",IF(K676="删除",I676*'模板使用说明&amp;基础参数'!$E$6*'模板使用说明&amp;基础参数'!$E$12,IF(K676="修改",I676*'模板使用说明&amp;基础参数'!$E$6*'模板使用说明&amp;基础参数'!$E$11,I676*'模板使用说明&amp;基础参数'!$E$6*'模板使用说明&amp;基础参数'!$E$10)),IF(K676="删除",I676*'模板使用说明&amp;基础参数'!$E$7*'模板使用说明&amp;基础参数'!$E$12,IF(K676="修改",I676*'模板使用说明&amp;基础参数'!$E$7*'模板使用说明&amp;基础参数'!$E$11,I676*'模板使用说明&amp;基础参数'!$E$7*'模板使用说明&amp;基础参数'!$E$10)))))</f>
        <v>1.06666666666667</v>
      </c>
      <c r="M676" s="95"/>
      <c r="N676" s="99"/>
      <c r="O676" s="100"/>
    </row>
    <row r="677" s="70" customFormat="1" ht="25" customHeight="1" spans="1:15">
      <c r="A677" s="93">
        <v>672</v>
      </c>
      <c r="B677" s="94" t="s">
        <v>72</v>
      </c>
      <c r="C677" s="95" t="s">
        <v>144</v>
      </c>
      <c r="D677" s="95" t="s">
        <v>145</v>
      </c>
      <c r="E677" s="95" t="s">
        <v>145</v>
      </c>
      <c r="F677" s="95" t="s">
        <v>1444</v>
      </c>
      <c r="G677" s="95" t="s">
        <v>1445</v>
      </c>
      <c r="H677" s="93" t="s">
        <v>77</v>
      </c>
      <c r="I677" s="96">
        <f>IF(H677="ILF",IF($C$1="预估功能点",'模板使用说明&amp;基础参数'!$E$15,7),IF(H677="EIF",IF($C$1="预估功能点",'模板使用说明&amp;基础参数'!$E$16,5),IF(H677="EI",IF($C$1="预估功能点",'模板使用说明&amp;基础参数'!$E$17,'模板使用说明&amp;基础参数'!$E$24),IF(H677="EO",IF($C$1="预估功能点",'模板使用说明&amp;基础参数'!$E$18,'模板使用说明&amp;基础参数'!$E$25),IF(H677="EQ",IF($C$1="预估功能点",'模板使用说明&amp;基础参数'!$E$19,'模板使用说明&amp;基础参数'!$E$26),"")))))</f>
        <v>7</v>
      </c>
      <c r="J677" s="97" t="s">
        <v>38</v>
      </c>
      <c r="K677" s="97" t="s">
        <v>78</v>
      </c>
      <c r="L677" s="98">
        <f>IF(I677="","",IF(J677="高",IF(K677="删除",I677*'模板使用说明&amp;基础参数'!$E$5*'模板使用说明&amp;基础参数'!$E$12,IF(K677="修改",I677*'模板使用说明&amp;基础参数'!$E$5*'模板使用说明&amp;基础参数'!$E$11,I677*'模板使用说明&amp;基础参数'!$E$5*'模板使用说明&amp;基础参数'!$E$10)),IF(J677="中",IF(K677="删除",I677*'模板使用说明&amp;基础参数'!$E$6*'模板使用说明&amp;基础参数'!$E$12,IF(K677="修改",I677*'模板使用说明&amp;基础参数'!$E$6*'模板使用说明&amp;基础参数'!$E$11,I677*'模板使用说明&amp;基础参数'!$E$6*'模板使用说明&amp;基础参数'!$E$10)),IF(K677="删除",I677*'模板使用说明&amp;基础参数'!$E$7*'模板使用说明&amp;基础参数'!$E$12,IF(K677="修改",I677*'模板使用说明&amp;基础参数'!$E$7*'模板使用说明&amp;基础参数'!$E$11,I677*'模板使用说明&amp;基础参数'!$E$7*'模板使用说明&amp;基础参数'!$E$10)))))</f>
        <v>1.86666666666666</v>
      </c>
      <c r="M677" s="95"/>
      <c r="N677" s="99"/>
      <c r="O677" s="100"/>
    </row>
    <row r="678" s="70" customFormat="1" ht="25" customHeight="1" spans="1:15">
      <c r="A678" s="93">
        <v>673</v>
      </c>
      <c r="B678" s="94" t="s">
        <v>72</v>
      </c>
      <c r="C678" s="95" t="s">
        <v>144</v>
      </c>
      <c r="D678" s="95" t="s">
        <v>145</v>
      </c>
      <c r="E678" s="95" t="s">
        <v>145</v>
      </c>
      <c r="F678" s="95" t="s">
        <v>1446</v>
      </c>
      <c r="G678" s="101" t="s">
        <v>1447</v>
      </c>
      <c r="H678" s="93" t="s">
        <v>81</v>
      </c>
      <c r="I678" s="96">
        <f>IF(H678="ILF",IF($C$1="预估功能点",'模板使用说明&amp;基础参数'!$E$15,7),IF(H678="EIF",IF($C$1="预估功能点",'模板使用说明&amp;基础参数'!$E$16,5),IF(H678="EI",IF($C$1="预估功能点",'模板使用说明&amp;基础参数'!$E$17,'模板使用说明&amp;基础参数'!$E$24),IF(H678="EO",IF($C$1="预估功能点",'模板使用说明&amp;基础参数'!$E$18,'模板使用说明&amp;基础参数'!$E$25),IF(H678="EQ",IF($C$1="预估功能点",'模板使用说明&amp;基础参数'!$E$19,'模板使用说明&amp;基础参数'!$E$26),"")))))</f>
        <v>4</v>
      </c>
      <c r="J678" s="97" t="s">
        <v>38</v>
      </c>
      <c r="K678" s="97" t="s">
        <v>78</v>
      </c>
      <c r="L678" s="98">
        <f>IF(I678="","",IF(J678="高",IF(K678="删除",I678*'模板使用说明&amp;基础参数'!$E$5*'模板使用说明&amp;基础参数'!$E$12,IF(K678="修改",I678*'模板使用说明&amp;基础参数'!$E$5*'模板使用说明&amp;基础参数'!$E$11,I678*'模板使用说明&amp;基础参数'!$E$5*'模板使用说明&amp;基础参数'!$E$10)),IF(J678="中",IF(K678="删除",I678*'模板使用说明&amp;基础参数'!$E$6*'模板使用说明&amp;基础参数'!$E$12,IF(K678="修改",I678*'模板使用说明&amp;基础参数'!$E$6*'模板使用说明&amp;基础参数'!$E$11,I678*'模板使用说明&amp;基础参数'!$E$6*'模板使用说明&amp;基础参数'!$E$10)),IF(K678="删除",I678*'模板使用说明&amp;基础参数'!$E$7*'模板使用说明&amp;基础参数'!$E$12,IF(K678="修改",I678*'模板使用说明&amp;基础参数'!$E$7*'模板使用说明&amp;基础参数'!$E$11,I678*'模板使用说明&amp;基础参数'!$E$7*'模板使用说明&amp;基础参数'!$E$10)))))</f>
        <v>1.06666666666667</v>
      </c>
      <c r="M678" s="95"/>
      <c r="N678" s="99"/>
      <c r="O678" s="100"/>
    </row>
    <row r="679" s="70" customFormat="1" ht="25" customHeight="1" spans="1:15">
      <c r="A679" s="93">
        <v>674</v>
      </c>
      <c r="B679" s="94" t="s">
        <v>72</v>
      </c>
      <c r="C679" s="102" t="s">
        <v>144</v>
      </c>
      <c r="D679" s="95" t="s">
        <v>145</v>
      </c>
      <c r="E679" s="95" t="s">
        <v>145</v>
      </c>
      <c r="F679" s="101" t="s">
        <v>1448</v>
      </c>
      <c r="G679" s="95" t="s">
        <v>1449</v>
      </c>
      <c r="H679" s="93" t="s">
        <v>84</v>
      </c>
      <c r="I679" s="96">
        <f>IF(H679="ILF",IF($C$1="预估功能点",'模板使用说明&amp;基础参数'!$E$15,7),IF(H679="EIF",IF($C$1="预估功能点",'模板使用说明&amp;基础参数'!$E$16,5),IF(H679="EI",IF($C$1="预估功能点",'模板使用说明&amp;基础参数'!$E$17,'模板使用说明&amp;基础参数'!$E$24),IF(H679="EO",IF($C$1="预估功能点",'模板使用说明&amp;基础参数'!$E$18,'模板使用说明&amp;基础参数'!$E$25),IF(H679="EQ",IF($C$1="预估功能点",'模板使用说明&amp;基础参数'!$E$19,'模板使用说明&amp;基础参数'!$E$26),"")))))</f>
        <v>4</v>
      </c>
      <c r="J679" s="97" t="s">
        <v>38</v>
      </c>
      <c r="K679" s="97" t="s">
        <v>78</v>
      </c>
      <c r="L679" s="98">
        <f>IF(I679="","",IF(J679="高",IF(K679="删除",I679*'模板使用说明&amp;基础参数'!$E$5*'模板使用说明&amp;基础参数'!$E$12,IF(K679="修改",I679*'模板使用说明&amp;基础参数'!$E$5*'模板使用说明&amp;基础参数'!$E$11,I679*'模板使用说明&amp;基础参数'!$E$5*'模板使用说明&amp;基础参数'!$E$10)),IF(J679="中",IF(K679="删除",I679*'模板使用说明&amp;基础参数'!$E$6*'模板使用说明&amp;基础参数'!$E$12,IF(K679="修改",I679*'模板使用说明&amp;基础参数'!$E$6*'模板使用说明&amp;基础参数'!$E$11,I679*'模板使用说明&amp;基础参数'!$E$6*'模板使用说明&amp;基础参数'!$E$10)),IF(K679="删除",I679*'模板使用说明&amp;基础参数'!$E$7*'模板使用说明&amp;基础参数'!$E$12,IF(K679="修改",I679*'模板使用说明&amp;基础参数'!$E$7*'模板使用说明&amp;基础参数'!$E$11,I679*'模板使用说明&amp;基础参数'!$E$7*'模板使用说明&amp;基础参数'!$E$10)))))</f>
        <v>1.06666666666667</v>
      </c>
      <c r="M679" s="95"/>
      <c r="N679" s="99"/>
      <c r="O679" s="100"/>
    </row>
    <row r="680" s="70" customFormat="1" ht="25" customHeight="1" spans="1:15">
      <c r="A680" s="93">
        <v>675</v>
      </c>
      <c r="B680" s="94" t="s">
        <v>72</v>
      </c>
      <c r="C680" s="95" t="s">
        <v>144</v>
      </c>
      <c r="D680" s="95" t="s">
        <v>145</v>
      </c>
      <c r="E680" s="95" t="s">
        <v>145</v>
      </c>
      <c r="F680" s="95" t="s">
        <v>1450</v>
      </c>
      <c r="G680" s="95" t="s">
        <v>1451</v>
      </c>
      <c r="H680" s="93" t="s">
        <v>84</v>
      </c>
      <c r="I680" s="96">
        <f>IF(H680="ILF",IF($C$1="预估功能点",'模板使用说明&amp;基础参数'!$E$15,7),IF(H680="EIF",IF($C$1="预估功能点",'模板使用说明&amp;基础参数'!$E$16,5),IF(H680="EI",IF($C$1="预估功能点",'模板使用说明&amp;基础参数'!$E$17,'模板使用说明&amp;基础参数'!$E$24),IF(H680="EO",IF($C$1="预估功能点",'模板使用说明&amp;基础参数'!$E$18,'模板使用说明&amp;基础参数'!$E$25),IF(H680="EQ",IF($C$1="预估功能点",'模板使用说明&amp;基础参数'!$E$19,'模板使用说明&amp;基础参数'!$E$26),"")))))</f>
        <v>4</v>
      </c>
      <c r="J680" s="97" t="s">
        <v>38</v>
      </c>
      <c r="K680" s="97" t="s">
        <v>78</v>
      </c>
      <c r="L680" s="98">
        <f>IF(I680="","",IF(J680="高",IF(K680="删除",I680*'模板使用说明&amp;基础参数'!$E$5*'模板使用说明&amp;基础参数'!$E$12,IF(K680="修改",I680*'模板使用说明&amp;基础参数'!$E$5*'模板使用说明&amp;基础参数'!$E$11,I680*'模板使用说明&amp;基础参数'!$E$5*'模板使用说明&amp;基础参数'!$E$10)),IF(J680="中",IF(K680="删除",I680*'模板使用说明&amp;基础参数'!$E$6*'模板使用说明&amp;基础参数'!$E$12,IF(K680="修改",I680*'模板使用说明&amp;基础参数'!$E$6*'模板使用说明&amp;基础参数'!$E$11,I680*'模板使用说明&amp;基础参数'!$E$6*'模板使用说明&amp;基础参数'!$E$10)),IF(K680="删除",I680*'模板使用说明&amp;基础参数'!$E$7*'模板使用说明&amp;基础参数'!$E$12,IF(K680="修改",I680*'模板使用说明&amp;基础参数'!$E$7*'模板使用说明&amp;基础参数'!$E$11,I680*'模板使用说明&amp;基础参数'!$E$7*'模板使用说明&amp;基础参数'!$E$10)))))</f>
        <v>1.06666666666667</v>
      </c>
      <c r="M680" s="95"/>
      <c r="N680" s="99"/>
      <c r="O680" s="100"/>
    </row>
    <row r="681" s="70" customFormat="1" ht="25" customHeight="1" spans="1:15">
      <c r="A681" s="93">
        <v>676</v>
      </c>
      <c r="B681" s="94" t="s">
        <v>72</v>
      </c>
      <c r="C681" s="95" t="s">
        <v>154</v>
      </c>
      <c r="D681" s="95" t="s">
        <v>155</v>
      </c>
      <c r="E681" s="95" t="s">
        <v>155</v>
      </c>
      <c r="F681" s="95" t="s">
        <v>1452</v>
      </c>
      <c r="G681" s="95" t="s">
        <v>1453</v>
      </c>
      <c r="H681" s="93" t="s">
        <v>77</v>
      </c>
      <c r="I681" s="96">
        <f>IF(H681="ILF",IF($C$1="预估功能点",'模板使用说明&amp;基础参数'!$E$15,7),IF(H681="EIF",IF($C$1="预估功能点",'模板使用说明&amp;基础参数'!$E$16,5),IF(H681="EI",IF($C$1="预估功能点",'模板使用说明&amp;基础参数'!$E$17,'模板使用说明&amp;基础参数'!$E$24),IF(H681="EO",IF($C$1="预估功能点",'模板使用说明&amp;基础参数'!$E$18,'模板使用说明&amp;基础参数'!$E$25),IF(H681="EQ",IF($C$1="预估功能点",'模板使用说明&amp;基础参数'!$E$19,'模板使用说明&amp;基础参数'!$E$26),"")))))</f>
        <v>7</v>
      </c>
      <c r="J681" s="97" t="s">
        <v>38</v>
      </c>
      <c r="K681" s="97" t="s">
        <v>78</v>
      </c>
      <c r="L681" s="98">
        <f>IF(I681="","",IF(J681="高",IF(K681="删除",I681*'模板使用说明&amp;基础参数'!$E$5*'模板使用说明&amp;基础参数'!$E$12,IF(K681="修改",I681*'模板使用说明&amp;基础参数'!$E$5*'模板使用说明&amp;基础参数'!$E$11,I681*'模板使用说明&amp;基础参数'!$E$5*'模板使用说明&amp;基础参数'!$E$10)),IF(J681="中",IF(K681="删除",I681*'模板使用说明&amp;基础参数'!$E$6*'模板使用说明&amp;基础参数'!$E$12,IF(K681="修改",I681*'模板使用说明&amp;基础参数'!$E$6*'模板使用说明&amp;基础参数'!$E$11,I681*'模板使用说明&amp;基础参数'!$E$6*'模板使用说明&amp;基础参数'!$E$10)),IF(K681="删除",I681*'模板使用说明&amp;基础参数'!$E$7*'模板使用说明&amp;基础参数'!$E$12,IF(K681="修改",I681*'模板使用说明&amp;基础参数'!$E$7*'模板使用说明&amp;基础参数'!$E$11,I681*'模板使用说明&amp;基础参数'!$E$7*'模板使用说明&amp;基础参数'!$E$10)))))</f>
        <v>1.86666666666666</v>
      </c>
      <c r="M681" s="95"/>
      <c r="N681" s="99"/>
      <c r="O681" s="100"/>
    </row>
    <row r="682" s="70" customFormat="1" ht="25" customHeight="1" spans="1:15">
      <c r="A682" s="93">
        <v>677</v>
      </c>
      <c r="B682" s="94" t="s">
        <v>72</v>
      </c>
      <c r="C682" s="95" t="s">
        <v>154</v>
      </c>
      <c r="D682" s="95" t="s">
        <v>155</v>
      </c>
      <c r="E682" s="95" t="s">
        <v>155</v>
      </c>
      <c r="F682" s="95" t="s">
        <v>1454</v>
      </c>
      <c r="G682" s="95" t="s">
        <v>1455</v>
      </c>
      <c r="H682" s="93" t="s">
        <v>81</v>
      </c>
      <c r="I682" s="96">
        <f>IF(H682="ILF",IF($C$1="预估功能点",'模板使用说明&amp;基础参数'!$E$15,7),IF(H682="EIF",IF($C$1="预估功能点",'模板使用说明&amp;基础参数'!$E$16,5),IF(H682="EI",IF($C$1="预估功能点",'模板使用说明&amp;基础参数'!$E$17,'模板使用说明&amp;基础参数'!$E$24),IF(H682="EO",IF($C$1="预估功能点",'模板使用说明&amp;基础参数'!$E$18,'模板使用说明&amp;基础参数'!$E$25),IF(H682="EQ",IF($C$1="预估功能点",'模板使用说明&amp;基础参数'!$E$19,'模板使用说明&amp;基础参数'!$E$26),"")))))</f>
        <v>4</v>
      </c>
      <c r="J682" s="97" t="s">
        <v>38</v>
      </c>
      <c r="K682" s="97" t="s">
        <v>78</v>
      </c>
      <c r="L682" s="98">
        <f>IF(I682="","",IF(J682="高",IF(K682="删除",I682*'模板使用说明&amp;基础参数'!$E$5*'模板使用说明&amp;基础参数'!$E$12,IF(K682="修改",I682*'模板使用说明&amp;基础参数'!$E$5*'模板使用说明&amp;基础参数'!$E$11,I682*'模板使用说明&amp;基础参数'!$E$5*'模板使用说明&amp;基础参数'!$E$10)),IF(J682="中",IF(K682="删除",I682*'模板使用说明&amp;基础参数'!$E$6*'模板使用说明&amp;基础参数'!$E$12,IF(K682="修改",I682*'模板使用说明&amp;基础参数'!$E$6*'模板使用说明&amp;基础参数'!$E$11,I682*'模板使用说明&amp;基础参数'!$E$6*'模板使用说明&amp;基础参数'!$E$10)),IF(K682="删除",I682*'模板使用说明&amp;基础参数'!$E$7*'模板使用说明&amp;基础参数'!$E$12,IF(K682="修改",I682*'模板使用说明&amp;基础参数'!$E$7*'模板使用说明&amp;基础参数'!$E$11,I682*'模板使用说明&amp;基础参数'!$E$7*'模板使用说明&amp;基础参数'!$E$10)))))</f>
        <v>1.06666666666667</v>
      </c>
      <c r="M682" s="95"/>
      <c r="N682" s="99"/>
      <c r="O682" s="100"/>
    </row>
    <row r="683" s="70" customFormat="1" ht="25" customHeight="1" spans="1:15">
      <c r="A683" s="93">
        <v>678</v>
      </c>
      <c r="B683" s="94" t="s">
        <v>72</v>
      </c>
      <c r="C683" s="95" t="s">
        <v>154</v>
      </c>
      <c r="D683" s="95" t="s">
        <v>155</v>
      </c>
      <c r="E683" s="95" t="s">
        <v>155</v>
      </c>
      <c r="F683" s="95" t="s">
        <v>1456</v>
      </c>
      <c r="G683" s="95" t="s">
        <v>1457</v>
      </c>
      <c r="H683" s="93" t="s">
        <v>84</v>
      </c>
      <c r="I683" s="96">
        <f>IF(H683="ILF",IF($C$1="预估功能点",'模板使用说明&amp;基础参数'!$E$15,7),IF(H683="EIF",IF($C$1="预估功能点",'模板使用说明&amp;基础参数'!$E$16,5),IF(H683="EI",IF($C$1="预估功能点",'模板使用说明&amp;基础参数'!$E$17,'模板使用说明&amp;基础参数'!$E$24),IF(H683="EO",IF($C$1="预估功能点",'模板使用说明&amp;基础参数'!$E$18,'模板使用说明&amp;基础参数'!$E$25),IF(H683="EQ",IF($C$1="预估功能点",'模板使用说明&amp;基础参数'!$E$19,'模板使用说明&amp;基础参数'!$E$26),"")))))</f>
        <v>4</v>
      </c>
      <c r="J683" s="97" t="s">
        <v>38</v>
      </c>
      <c r="K683" s="97" t="s">
        <v>78</v>
      </c>
      <c r="L683" s="98">
        <f>IF(I683="","",IF(J683="高",IF(K683="删除",I683*'模板使用说明&amp;基础参数'!$E$5*'模板使用说明&amp;基础参数'!$E$12,IF(K683="修改",I683*'模板使用说明&amp;基础参数'!$E$5*'模板使用说明&amp;基础参数'!$E$11,I683*'模板使用说明&amp;基础参数'!$E$5*'模板使用说明&amp;基础参数'!$E$10)),IF(J683="中",IF(K683="删除",I683*'模板使用说明&amp;基础参数'!$E$6*'模板使用说明&amp;基础参数'!$E$12,IF(K683="修改",I683*'模板使用说明&amp;基础参数'!$E$6*'模板使用说明&amp;基础参数'!$E$11,I683*'模板使用说明&amp;基础参数'!$E$6*'模板使用说明&amp;基础参数'!$E$10)),IF(K683="删除",I683*'模板使用说明&amp;基础参数'!$E$7*'模板使用说明&amp;基础参数'!$E$12,IF(K683="修改",I683*'模板使用说明&amp;基础参数'!$E$7*'模板使用说明&amp;基础参数'!$E$11,I683*'模板使用说明&amp;基础参数'!$E$7*'模板使用说明&amp;基础参数'!$E$10)))))</f>
        <v>1.06666666666667</v>
      </c>
      <c r="M683" s="95"/>
      <c r="N683" s="99"/>
      <c r="O683" s="100"/>
    </row>
    <row r="684" s="70" customFormat="1" ht="25" customHeight="1" spans="1:15">
      <c r="A684" s="93">
        <v>679</v>
      </c>
      <c r="B684" s="94" t="s">
        <v>72</v>
      </c>
      <c r="C684" s="95" t="s">
        <v>154</v>
      </c>
      <c r="D684" s="95" t="s">
        <v>155</v>
      </c>
      <c r="E684" s="95" t="s">
        <v>155</v>
      </c>
      <c r="F684" s="95" t="s">
        <v>1458</v>
      </c>
      <c r="G684" s="95" t="s">
        <v>1459</v>
      </c>
      <c r="H684" s="93" t="s">
        <v>84</v>
      </c>
      <c r="I684" s="96">
        <f>IF(H684="ILF",IF($C$1="预估功能点",'模板使用说明&amp;基础参数'!$E$15,7),IF(H684="EIF",IF($C$1="预估功能点",'模板使用说明&amp;基础参数'!$E$16,5),IF(H684="EI",IF($C$1="预估功能点",'模板使用说明&amp;基础参数'!$E$17,'模板使用说明&amp;基础参数'!$E$24),IF(H684="EO",IF($C$1="预估功能点",'模板使用说明&amp;基础参数'!$E$18,'模板使用说明&amp;基础参数'!$E$25),IF(H684="EQ",IF($C$1="预估功能点",'模板使用说明&amp;基础参数'!$E$19,'模板使用说明&amp;基础参数'!$E$26),"")))))</f>
        <v>4</v>
      </c>
      <c r="J684" s="97" t="s">
        <v>38</v>
      </c>
      <c r="K684" s="97" t="s">
        <v>78</v>
      </c>
      <c r="L684" s="98">
        <f>IF(I684="","",IF(J684="高",IF(K684="删除",I684*'模板使用说明&amp;基础参数'!$E$5*'模板使用说明&amp;基础参数'!$E$12,IF(K684="修改",I684*'模板使用说明&amp;基础参数'!$E$5*'模板使用说明&amp;基础参数'!$E$11,I684*'模板使用说明&amp;基础参数'!$E$5*'模板使用说明&amp;基础参数'!$E$10)),IF(J684="中",IF(K684="删除",I684*'模板使用说明&amp;基础参数'!$E$6*'模板使用说明&amp;基础参数'!$E$12,IF(K684="修改",I684*'模板使用说明&amp;基础参数'!$E$6*'模板使用说明&amp;基础参数'!$E$11,I684*'模板使用说明&amp;基础参数'!$E$6*'模板使用说明&amp;基础参数'!$E$10)),IF(K684="删除",I684*'模板使用说明&amp;基础参数'!$E$7*'模板使用说明&amp;基础参数'!$E$12,IF(K684="修改",I684*'模板使用说明&amp;基础参数'!$E$7*'模板使用说明&amp;基础参数'!$E$11,I684*'模板使用说明&amp;基础参数'!$E$7*'模板使用说明&amp;基础参数'!$E$10)))))</f>
        <v>1.06666666666667</v>
      </c>
      <c r="M684" s="95"/>
      <c r="N684" s="99"/>
      <c r="O684" s="100"/>
    </row>
    <row r="685" s="70" customFormat="1" ht="25" customHeight="1" spans="1:15">
      <c r="A685" s="93">
        <v>680</v>
      </c>
      <c r="B685" s="94" t="s">
        <v>72</v>
      </c>
      <c r="C685" s="95" t="s">
        <v>154</v>
      </c>
      <c r="D685" s="95" t="s">
        <v>155</v>
      </c>
      <c r="E685" s="95" t="s">
        <v>155</v>
      </c>
      <c r="F685" s="95" t="s">
        <v>1460</v>
      </c>
      <c r="G685" s="95" t="s">
        <v>1461</v>
      </c>
      <c r="H685" s="93" t="s">
        <v>84</v>
      </c>
      <c r="I685" s="96">
        <f>IF(H685="ILF",IF($C$1="预估功能点",'模板使用说明&amp;基础参数'!$E$15,7),IF(H685="EIF",IF($C$1="预估功能点",'模板使用说明&amp;基础参数'!$E$16,5),IF(H685="EI",IF($C$1="预估功能点",'模板使用说明&amp;基础参数'!$E$17,'模板使用说明&amp;基础参数'!$E$24),IF(H685="EO",IF($C$1="预估功能点",'模板使用说明&amp;基础参数'!$E$18,'模板使用说明&amp;基础参数'!$E$25),IF(H685="EQ",IF($C$1="预估功能点",'模板使用说明&amp;基础参数'!$E$19,'模板使用说明&amp;基础参数'!$E$26),"")))))</f>
        <v>4</v>
      </c>
      <c r="J685" s="97" t="s">
        <v>38</v>
      </c>
      <c r="K685" s="97" t="s">
        <v>78</v>
      </c>
      <c r="L685" s="98">
        <f>IF(I685="","",IF(J685="高",IF(K685="删除",I685*'模板使用说明&amp;基础参数'!$E$5*'模板使用说明&amp;基础参数'!$E$12,IF(K685="修改",I685*'模板使用说明&amp;基础参数'!$E$5*'模板使用说明&amp;基础参数'!$E$11,I685*'模板使用说明&amp;基础参数'!$E$5*'模板使用说明&amp;基础参数'!$E$10)),IF(J685="中",IF(K685="删除",I685*'模板使用说明&amp;基础参数'!$E$6*'模板使用说明&amp;基础参数'!$E$12,IF(K685="修改",I685*'模板使用说明&amp;基础参数'!$E$6*'模板使用说明&amp;基础参数'!$E$11,I685*'模板使用说明&amp;基础参数'!$E$6*'模板使用说明&amp;基础参数'!$E$10)),IF(K685="删除",I685*'模板使用说明&amp;基础参数'!$E$7*'模板使用说明&amp;基础参数'!$E$12,IF(K685="修改",I685*'模板使用说明&amp;基础参数'!$E$7*'模板使用说明&amp;基础参数'!$E$11,I685*'模板使用说明&amp;基础参数'!$E$7*'模板使用说明&amp;基础参数'!$E$10)))))</f>
        <v>1.06666666666667</v>
      </c>
      <c r="M685" s="95"/>
      <c r="N685" s="99"/>
      <c r="O685" s="100"/>
    </row>
    <row r="686" s="70" customFormat="1" ht="25" customHeight="1" spans="1:15">
      <c r="A686" s="93">
        <v>681</v>
      </c>
      <c r="B686" s="94" t="s">
        <v>72</v>
      </c>
      <c r="C686" s="95" t="s">
        <v>73</v>
      </c>
      <c r="D686" s="95" t="s">
        <v>74</v>
      </c>
      <c r="E686" s="95" t="s">
        <v>74</v>
      </c>
      <c r="F686" s="95" t="s">
        <v>1462</v>
      </c>
      <c r="G686" s="95" t="s">
        <v>1463</v>
      </c>
      <c r="H686" s="93" t="s">
        <v>77</v>
      </c>
      <c r="I686" s="96">
        <f>IF(H686="ILF",IF($C$1="预估功能点",'模板使用说明&amp;基础参数'!$E$15,7),IF(H686="EIF",IF($C$1="预估功能点",'模板使用说明&amp;基础参数'!$E$16,5),IF(H686="EI",IF($C$1="预估功能点",'模板使用说明&amp;基础参数'!$E$17,'模板使用说明&amp;基础参数'!$E$24),IF(H686="EO",IF($C$1="预估功能点",'模板使用说明&amp;基础参数'!$E$18,'模板使用说明&amp;基础参数'!$E$25),IF(H686="EQ",IF($C$1="预估功能点",'模板使用说明&amp;基础参数'!$E$19,'模板使用说明&amp;基础参数'!$E$26),"")))))</f>
        <v>7</v>
      </c>
      <c r="J686" s="97" t="s">
        <v>38</v>
      </c>
      <c r="K686" s="97" t="s">
        <v>78</v>
      </c>
      <c r="L686" s="98">
        <f>IF(I686="","",IF(J686="高",IF(K686="删除",I686*'模板使用说明&amp;基础参数'!$E$5*'模板使用说明&amp;基础参数'!$E$12,IF(K686="修改",I686*'模板使用说明&amp;基础参数'!$E$5*'模板使用说明&amp;基础参数'!$E$11,I686*'模板使用说明&amp;基础参数'!$E$5*'模板使用说明&amp;基础参数'!$E$10)),IF(J686="中",IF(K686="删除",I686*'模板使用说明&amp;基础参数'!$E$6*'模板使用说明&amp;基础参数'!$E$12,IF(K686="修改",I686*'模板使用说明&amp;基础参数'!$E$6*'模板使用说明&amp;基础参数'!$E$11,I686*'模板使用说明&amp;基础参数'!$E$6*'模板使用说明&amp;基础参数'!$E$10)),IF(K686="删除",I686*'模板使用说明&amp;基础参数'!$E$7*'模板使用说明&amp;基础参数'!$E$12,IF(K686="修改",I686*'模板使用说明&amp;基础参数'!$E$7*'模板使用说明&amp;基础参数'!$E$11,I686*'模板使用说明&amp;基础参数'!$E$7*'模板使用说明&amp;基础参数'!$E$10)))))</f>
        <v>1.86666666666666</v>
      </c>
      <c r="M686" s="95"/>
      <c r="N686" s="99"/>
      <c r="O686" s="100"/>
    </row>
    <row r="687" s="70" customFormat="1" ht="25" customHeight="1" spans="1:15">
      <c r="A687" s="93">
        <v>682</v>
      </c>
      <c r="B687" s="94" t="s">
        <v>72</v>
      </c>
      <c r="C687" s="95" t="s">
        <v>73</v>
      </c>
      <c r="D687" s="95" t="s">
        <v>74</v>
      </c>
      <c r="E687" s="95" t="s">
        <v>74</v>
      </c>
      <c r="F687" s="95" t="s">
        <v>1464</v>
      </c>
      <c r="G687" s="95" t="s">
        <v>1465</v>
      </c>
      <c r="H687" s="93" t="s">
        <v>81</v>
      </c>
      <c r="I687" s="96">
        <f>IF(H687="ILF",IF($C$1="预估功能点",'模板使用说明&amp;基础参数'!$E$15,7),IF(H687="EIF",IF($C$1="预估功能点",'模板使用说明&amp;基础参数'!$E$16,5),IF(H687="EI",IF($C$1="预估功能点",'模板使用说明&amp;基础参数'!$E$17,'模板使用说明&amp;基础参数'!$E$24),IF(H687="EO",IF($C$1="预估功能点",'模板使用说明&amp;基础参数'!$E$18,'模板使用说明&amp;基础参数'!$E$25),IF(H687="EQ",IF($C$1="预估功能点",'模板使用说明&amp;基础参数'!$E$19,'模板使用说明&amp;基础参数'!$E$26),"")))))</f>
        <v>4</v>
      </c>
      <c r="J687" s="97" t="s">
        <v>38</v>
      </c>
      <c r="K687" s="97" t="s">
        <v>78</v>
      </c>
      <c r="L687" s="98">
        <f>IF(I687="","",IF(J687="高",IF(K687="删除",I687*'模板使用说明&amp;基础参数'!$E$5*'模板使用说明&amp;基础参数'!$E$12,IF(K687="修改",I687*'模板使用说明&amp;基础参数'!$E$5*'模板使用说明&amp;基础参数'!$E$11,I687*'模板使用说明&amp;基础参数'!$E$5*'模板使用说明&amp;基础参数'!$E$10)),IF(J687="中",IF(K687="删除",I687*'模板使用说明&amp;基础参数'!$E$6*'模板使用说明&amp;基础参数'!$E$12,IF(K687="修改",I687*'模板使用说明&amp;基础参数'!$E$6*'模板使用说明&amp;基础参数'!$E$11,I687*'模板使用说明&amp;基础参数'!$E$6*'模板使用说明&amp;基础参数'!$E$10)),IF(K687="删除",I687*'模板使用说明&amp;基础参数'!$E$7*'模板使用说明&amp;基础参数'!$E$12,IF(K687="修改",I687*'模板使用说明&amp;基础参数'!$E$7*'模板使用说明&amp;基础参数'!$E$11,I687*'模板使用说明&amp;基础参数'!$E$7*'模板使用说明&amp;基础参数'!$E$10)))))</f>
        <v>1.06666666666667</v>
      </c>
      <c r="M687" s="95"/>
      <c r="N687" s="99"/>
      <c r="O687" s="100"/>
    </row>
    <row r="688" s="70" customFormat="1" ht="25" customHeight="1" spans="1:15">
      <c r="A688" s="93">
        <v>683</v>
      </c>
      <c r="B688" s="94" t="s">
        <v>72</v>
      </c>
      <c r="C688" s="95" t="s">
        <v>73</v>
      </c>
      <c r="D688" s="95" t="s">
        <v>74</v>
      </c>
      <c r="E688" s="95" t="s">
        <v>74</v>
      </c>
      <c r="F688" s="95" t="s">
        <v>1466</v>
      </c>
      <c r="G688" s="95" t="s">
        <v>1467</v>
      </c>
      <c r="H688" s="93" t="s">
        <v>84</v>
      </c>
      <c r="I688" s="96">
        <f>IF(H688="ILF",IF($C$1="预估功能点",'模板使用说明&amp;基础参数'!$E$15,7),IF(H688="EIF",IF($C$1="预估功能点",'模板使用说明&amp;基础参数'!$E$16,5),IF(H688="EI",IF($C$1="预估功能点",'模板使用说明&amp;基础参数'!$E$17,'模板使用说明&amp;基础参数'!$E$24),IF(H688="EO",IF($C$1="预估功能点",'模板使用说明&amp;基础参数'!$E$18,'模板使用说明&amp;基础参数'!$E$25),IF(H688="EQ",IF($C$1="预估功能点",'模板使用说明&amp;基础参数'!$E$19,'模板使用说明&amp;基础参数'!$E$26),"")))))</f>
        <v>4</v>
      </c>
      <c r="J688" s="97" t="s">
        <v>38</v>
      </c>
      <c r="K688" s="97" t="s">
        <v>78</v>
      </c>
      <c r="L688" s="98">
        <f>IF(I688="","",IF(J688="高",IF(K688="删除",I688*'模板使用说明&amp;基础参数'!$E$5*'模板使用说明&amp;基础参数'!$E$12,IF(K688="修改",I688*'模板使用说明&amp;基础参数'!$E$5*'模板使用说明&amp;基础参数'!$E$11,I688*'模板使用说明&amp;基础参数'!$E$5*'模板使用说明&amp;基础参数'!$E$10)),IF(J688="中",IF(K688="删除",I688*'模板使用说明&amp;基础参数'!$E$6*'模板使用说明&amp;基础参数'!$E$12,IF(K688="修改",I688*'模板使用说明&amp;基础参数'!$E$6*'模板使用说明&amp;基础参数'!$E$11,I688*'模板使用说明&amp;基础参数'!$E$6*'模板使用说明&amp;基础参数'!$E$10)),IF(K688="删除",I688*'模板使用说明&amp;基础参数'!$E$7*'模板使用说明&amp;基础参数'!$E$12,IF(K688="修改",I688*'模板使用说明&amp;基础参数'!$E$7*'模板使用说明&amp;基础参数'!$E$11,I688*'模板使用说明&amp;基础参数'!$E$7*'模板使用说明&amp;基础参数'!$E$10)))))</f>
        <v>1.06666666666667</v>
      </c>
      <c r="M688" s="95"/>
      <c r="N688" s="99"/>
      <c r="O688" s="100"/>
    </row>
    <row r="689" s="70" customFormat="1" ht="25" customHeight="1" spans="1:15">
      <c r="A689" s="93">
        <v>684</v>
      </c>
      <c r="B689" s="94" t="s">
        <v>72</v>
      </c>
      <c r="C689" s="95" t="s">
        <v>73</v>
      </c>
      <c r="D689" s="95" t="s">
        <v>74</v>
      </c>
      <c r="E689" s="95" t="s">
        <v>74</v>
      </c>
      <c r="F689" s="95" t="s">
        <v>1468</v>
      </c>
      <c r="G689" s="95" t="s">
        <v>1469</v>
      </c>
      <c r="H689" s="93" t="s">
        <v>84</v>
      </c>
      <c r="I689" s="96">
        <f>IF(H689="ILF",IF($C$1="预估功能点",'模板使用说明&amp;基础参数'!$E$15,7),IF(H689="EIF",IF($C$1="预估功能点",'模板使用说明&amp;基础参数'!$E$16,5),IF(H689="EI",IF($C$1="预估功能点",'模板使用说明&amp;基础参数'!$E$17,'模板使用说明&amp;基础参数'!$E$24),IF(H689="EO",IF($C$1="预估功能点",'模板使用说明&amp;基础参数'!$E$18,'模板使用说明&amp;基础参数'!$E$25),IF(H689="EQ",IF($C$1="预估功能点",'模板使用说明&amp;基础参数'!$E$19,'模板使用说明&amp;基础参数'!$E$26),"")))))</f>
        <v>4</v>
      </c>
      <c r="J689" s="97" t="s">
        <v>38</v>
      </c>
      <c r="K689" s="97" t="s">
        <v>78</v>
      </c>
      <c r="L689" s="98">
        <f>IF(I689="","",IF(J689="高",IF(K689="删除",I689*'模板使用说明&amp;基础参数'!$E$5*'模板使用说明&amp;基础参数'!$E$12,IF(K689="修改",I689*'模板使用说明&amp;基础参数'!$E$5*'模板使用说明&amp;基础参数'!$E$11,I689*'模板使用说明&amp;基础参数'!$E$5*'模板使用说明&amp;基础参数'!$E$10)),IF(J689="中",IF(K689="删除",I689*'模板使用说明&amp;基础参数'!$E$6*'模板使用说明&amp;基础参数'!$E$12,IF(K689="修改",I689*'模板使用说明&amp;基础参数'!$E$6*'模板使用说明&amp;基础参数'!$E$11,I689*'模板使用说明&amp;基础参数'!$E$6*'模板使用说明&amp;基础参数'!$E$10)),IF(K689="删除",I689*'模板使用说明&amp;基础参数'!$E$7*'模板使用说明&amp;基础参数'!$E$12,IF(K689="修改",I689*'模板使用说明&amp;基础参数'!$E$7*'模板使用说明&amp;基础参数'!$E$11,I689*'模板使用说明&amp;基础参数'!$E$7*'模板使用说明&amp;基础参数'!$E$10)))))</f>
        <v>1.06666666666667</v>
      </c>
      <c r="M689" s="95"/>
      <c r="N689" s="99"/>
      <c r="O689" s="100"/>
    </row>
    <row r="690" s="70" customFormat="1" ht="25" customHeight="1" spans="1:15">
      <c r="A690" s="93">
        <v>685</v>
      </c>
      <c r="B690" s="94" t="s">
        <v>72</v>
      </c>
      <c r="C690" s="95" t="s">
        <v>73</v>
      </c>
      <c r="D690" s="95" t="s">
        <v>74</v>
      </c>
      <c r="E690" s="95" t="s">
        <v>74</v>
      </c>
      <c r="F690" s="95" t="s">
        <v>1470</v>
      </c>
      <c r="G690" s="95" t="s">
        <v>1471</v>
      </c>
      <c r="H690" s="93" t="s">
        <v>84</v>
      </c>
      <c r="I690" s="96">
        <f>IF(H690="ILF",IF($C$1="预估功能点",'模板使用说明&amp;基础参数'!$E$15,7),IF(H690="EIF",IF($C$1="预估功能点",'模板使用说明&amp;基础参数'!$E$16,5),IF(H690="EI",IF($C$1="预估功能点",'模板使用说明&amp;基础参数'!$E$17,'模板使用说明&amp;基础参数'!$E$24),IF(H690="EO",IF($C$1="预估功能点",'模板使用说明&amp;基础参数'!$E$18,'模板使用说明&amp;基础参数'!$E$25),IF(H690="EQ",IF($C$1="预估功能点",'模板使用说明&amp;基础参数'!$E$19,'模板使用说明&amp;基础参数'!$E$26),"")))))</f>
        <v>4</v>
      </c>
      <c r="J690" s="97" t="s">
        <v>38</v>
      </c>
      <c r="K690" s="97" t="s">
        <v>78</v>
      </c>
      <c r="L690" s="98">
        <f>IF(I690="","",IF(J690="高",IF(K690="删除",I690*'模板使用说明&amp;基础参数'!$E$5*'模板使用说明&amp;基础参数'!$E$12,IF(K690="修改",I690*'模板使用说明&amp;基础参数'!$E$5*'模板使用说明&amp;基础参数'!$E$11,I690*'模板使用说明&amp;基础参数'!$E$5*'模板使用说明&amp;基础参数'!$E$10)),IF(J690="中",IF(K690="删除",I690*'模板使用说明&amp;基础参数'!$E$6*'模板使用说明&amp;基础参数'!$E$12,IF(K690="修改",I690*'模板使用说明&amp;基础参数'!$E$6*'模板使用说明&amp;基础参数'!$E$11,I690*'模板使用说明&amp;基础参数'!$E$6*'模板使用说明&amp;基础参数'!$E$10)),IF(K690="删除",I690*'模板使用说明&amp;基础参数'!$E$7*'模板使用说明&amp;基础参数'!$E$12,IF(K690="修改",I690*'模板使用说明&amp;基础参数'!$E$7*'模板使用说明&amp;基础参数'!$E$11,I690*'模板使用说明&amp;基础参数'!$E$7*'模板使用说明&amp;基础参数'!$E$10)))))</f>
        <v>1.06666666666667</v>
      </c>
      <c r="M690" s="95"/>
      <c r="N690" s="99"/>
      <c r="O690" s="100"/>
    </row>
    <row r="691" s="70" customFormat="1" ht="25" customHeight="1" spans="1:15">
      <c r="A691" s="93">
        <v>686</v>
      </c>
      <c r="B691" s="94" t="s">
        <v>72</v>
      </c>
      <c r="C691" s="95" t="s">
        <v>73</v>
      </c>
      <c r="D691" s="95" t="s">
        <v>74</v>
      </c>
      <c r="E691" s="95" t="s">
        <v>74</v>
      </c>
      <c r="F691" s="95" t="s">
        <v>1472</v>
      </c>
      <c r="G691" s="95" t="s">
        <v>1473</v>
      </c>
      <c r="H691" s="93" t="s">
        <v>77</v>
      </c>
      <c r="I691" s="96">
        <f>IF(H691="ILF",IF($C$1="预估功能点",'模板使用说明&amp;基础参数'!$E$15,7),IF(H691="EIF",IF($C$1="预估功能点",'模板使用说明&amp;基础参数'!$E$16,5),IF(H691="EI",IF($C$1="预估功能点",'模板使用说明&amp;基础参数'!$E$17,'模板使用说明&amp;基础参数'!$E$24),IF(H691="EO",IF($C$1="预估功能点",'模板使用说明&amp;基础参数'!$E$18,'模板使用说明&amp;基础参数'!$E$25),IF(H691="EQ",IF($C$1="预估功能点",'模板使用说明&amp;基础参数'!$E$19,'模板使用说明&amp;基础参数'!$E$26),"")))))</f>
        <v>7</v>
      </c>
      <c r="J691" s="97" t="s">
        <v>38</v>
      </c>
      <c r="K691" s="97" t="s">
        <v>78</v>
      </c>
      <c r="L691" s="98">
        <f>IF(I691="","",IF(J691="高",IF(K691="删除",I691*'模板使用说明&amp;基础参数'!$E$5*'模板使用说明&amp;基础参数'!$E$12,IF(K691="修改",I691*'模板使用说明&amp;基础参数'!$E$5*'模板使用说明&amp;基础参数'!$E$11,I691*'模板使用说明&amp;基础参数'!$E$5*'模板使用说明&amp;基础参数'!$E$10)),IF(J691="中",IF(K691="删除",I691*'模板使用说明&amp;基础参数'!$E$6*'模板使用说明&amp;基础参数'!$E$12,IF(K691="修改",I691*'模板使用说明&amp;基础参数'!$E$6*'模板使用说明&amp;基础参数'!$E$11,I691*'模板使用说明&amp;基础参数'!$E$6*'模板使用说明&amp;基础参数'!$E$10)),IF(K691="删除",I691*'模板使用说明&amp;基础参数'!$E$7*'模板使用说明&amp;基础参数'!$E$12,IF(K691="修改",I691*'模板使用说明&amp;基础参数'!$E$7*'模板使用说明&amp;基础参数'!$E$11,I691*'模板使用说明&amp;基础参数'!$E$7*'模板使用说明&amp;基础参数'!$E$10)))))</f>
        <v>1.86666666666666</v>
      </c>
      <c r="M691" s="95"/>
      <c r="N691" s="99"/>
      <c r="O691" s="100"/>
    </row>
    <row r="692" s="70" customFormat="1" ht="25" customHeight="1" spans="1:15">
      <c r="A692" s="93">
        <v>687</v>
      </c>
      <c r="B692" s="94" t="s">
        <v>72</v>
      </c>
      <c r="C692" s="95" t="s">
        <v>73</v>
      </c>
      <c r="D692" s="95" t="s">
        <v>74</v>
      </c>
      <c r="E692" s="95" t="s">
        <v>74</v>
      </c>
      <c r="F692" s="95" t="s">
        <v>1474</v>
      </c>
      <c r="G692" s="95" t="s">
        <v>1475</v>
      </c>
      <c r="H692" s="93" t="s">
        <v>81</v>
      </c>
      <c r="I692" s="96">
        <f>IF(H692="ILF",IF($C$1="预估功能点",'模板使用说明&amp;基础参数'!$E$15,7),IF(H692="EIF",IF($C$1="预估功能点",'模板使用说明&amp;基础参数'!$E$16,5),IF(H692="EI",IF($C$1="预估功能点",'模板使用说明&amp;基础参数'!$E$17,'模板使用说明&amp;基础参数'!$E$24),IF(H692="EO",IF($C$1="预估功能点",'模板使用说明&amp;基础参数'!$E$18,'模板使用说明&amp;基础参数'!$E$25),IF(H692="EQ",IF($C$1="预估功能点",'模板使用说明&amp;基础参数'!$E$19,'模板使用说明&amp;基础参数'!$E$26),"")))))</f>
        <v>4</v>
      </c>
      <c r="J692" s="97" t="s">
        <v>38</v>
      </c>
      <c r="K692" s="97" t="s">
        <v>78</v>
      </c>
      <c r="L692" s="98">
        <f>IF(I692="","",IF(J692="高",IF(K692="删除",I692*'模板使用说明&amp;基础参数'!$E$5*'模板使用说明&amp;基础参数'!$E$12,IF(K692="修改",I692*'模板使用说明&amp;基础参数'!$E$5*'模板使用说明&amp;基础参数'!$E$11,I692*'模板使用说明&amp;基础参数'!$E$5*'模板使用说明&amp;基础参数'!$E$10)),IF(J692="中",IF(K692="删除",I692*'模板使用说明&amp;基础参数'!$E$6*'模板使用说明&amp;基础参数'!$E$12,IF(K692="修改",I692*'模板使用说明&amp;基础参数'!$E$6*'模板使用说明&amp;基础参数'!$E$11,I692*'模板使用说明&amp;基础参数'!$E$6*'模板使用说明&amp;基础参数'!$E$10)),IF(K692="删除",I692*'模板使用说明&amp;基础参数'!$E$7*'模板使用说明&amp;基础参数'!$E$12,IF(K692="修改",I692*'模板使用说明&amp;基础参数'!$E$7*'模板使用说明&amp;基础参数'!$E$11,I692*'模板使用说明&amp;基础参数'!$E$7*'模板使用说明&amp;基础参数'!$E$10)))))</f>
        <v>1.06666666666667</v>
      </c>
      <c r="M692" s="95"/>
      <c r="N692" s="99"/>
      <c r="O692" s="100"/>
    </row>
    <row r="693" s="70" customFormat="1" ht="25" customHeight="1" spans="1:15">
      <c r="A693" s="93">
        <v>688</v>
      </c>
      <c r="B693" s="94" t="s">
        <v>72</v>
      </c>
      <c r="C693" s="95" t="s">
        <v>73</v>
      </c>
      <c r="D693" s="95" t="s">
        <v>74</v>
      </c>
      <c r="E693" s="95" t="s">
        <v>74</v>
      </c>
      <c r="F693" s="95" t="s">
        <v>1476</v>
      </c>
      <c r="G693" s="95" t="s">
        <v>1477</v>
      </c>
      <c r="H693" s="93" t="s">
        <v>84</v>
      </c>
      <c r="I693" s="96">
        <f>IF(H693="ILF",IF($C$1="预估功能点",'模板使用说明&amp;基础参数'!$E$15,7),IF(H693="EIF",IF($C$1="预估功能点",'模板使用说明&amp;基础参数'!$E$16,5),IF(H693="EI",IF($C$1="预估功能点",'模板使用说明&amp;基础参数'!$E$17,'模板使用说明&amp;基础参数'!$E$24),IF(H693="EO",IF($C$1="预估功能点",'模板使用说明&amp;基础参数'!$E$18,'模板使用说明&amp;基础参数'!$E$25),IF(H693="EQ",IF($C$1="预估功能点",'模板使用说明&amp;基础参数'!$E$19,'模板使用说明&amp;基础参数'!$E$26),"")))))</f>
        <v>4</v>
      </c>
      <c r="J693" s="97" t="s">
        <v>38</v>
      </c>
      <c r="K693" s="97" t="s">
        <v>78</v>
      </c>
      <c r="L693" s="98">
        <f>IF(I693="","",IF(J693="高",IF(K693="删除",I693*'模板使用说明&amp;基础参数'!$E$5*'模板使用说明&amp;基础参数'!$E$12,IF(K693="修改",I693*'模板使用说明&amp;基础参数'!$E$5*'模板使用说明&amp;基础参数'!$E$11,I693*'模板使用说明&amp;基础参数'!$E$5*'模板使用说明&amp;基础参数'!$E$10)),IF(J693="中",IF(K693="删除",I693*'模板使用说明&amp;基础参数'!$E$6*'模板使用说明&amp;基础参数'!$E$12,IF(K693="修改",I693*'模板使用说明&amp;基础参数'!$E$6*'模板使用说明&amp;基础参数'!$E$11,I693*'模板使用说明&amp;基础参数'!$E$6*'模板使用说明&amp;基础参数'!$E$10)),IF(K693="删除",I693*'模板使用说明&amp;基础参数'!$E$7*'模板使用说明&amp;基础参数'!$E$12,IF(K693="修改",I693*'模板使用说明&amp;基础参数'!$E$7*'模板使用说明&amp;基础参数'!$E$11,I693*'模板使用说明&amp;基础参数'!$E$7*'模板使用说明&amp;基础参数'!$E$10)))))</f>
        <v>1.06666666666667</v>
      </c>
      <c r="M693" s="95"/>
      <c r="N693" s="99"/>
      <c r="O693" s="100"/>
    </row>
    <row r="694" s="70" customFormat="1" ht="25" customHeight="1" spans="1:15">
      <c r="A694" s="93">
        <v>689</v>
      </c>
      <c r="B694" s="94" t="s">
        <v>72</v>
      </c>
      <c r="C694" s="95" t="s">
        <v>73</v>
      </c>
      <c r="D694" s="95" t="s">
        <v>74</v>
      </c>
      <c r="E694" s="95" t="s">
        <v>74</v>
      </c>
      <c r="F694" s="95" t="s">
        <v>1478</v>
      </c>
      <c r="G694" s="95" t="s">
        <v>1479</v>
      </c>
      <c r="H694" s="93" t="s">
        <v>84</v>
      </c>
      <c r="I694" s="96">
        <f>IF(H694="ILF",IF($C$1="预估功能点",'模板使用说明&amp;基础参数'!$E$15,7),IF(H694="EIF",IF($C$1="预估功能点",'模板使用说明&amp;基础参数'!$E$16,5),IF(H694="EI",IF($C$1="预估功能点",'模板使用说明&amp;基础参数'!$E$17,'模板使用说明&amp;基础参数'!$E$24),IF(H694="EO",IF($C$1="预估功能点",'模板使用说明&amp;基础参数'!$E$18,'模板使用说明&amp;基础参数'!$E$25),IF(H694="EQ",IF($C$1="预估功能点",'模板使用说明&amp;基础参数'!$E$19,'模板使用说明&amp;基础参数'!$E$26),"")))))</f>
        <v>4</v>
      </c>
      <c r="J694" s="97" t="s">
        <v>38</v>
      </c>
      <c r="K694" s="97" t="s">
        <v>78</v>
      </c>
      <c r="L694" s="98">
        <f>IF(I694="","",IF(J694="高",IF(K694="删除",I694*'模板使用说明&amp;基础参数'!$E$5*'模板使用说明&amp;基础参数'!$E$12,IF(K694="修改",I694*'模板使用说明&amp;基础参数'!$E$5*'模板使用说明&amp;基础参数'!$E$11,I694*'模板使用说明&amp;基础参数'!$E$5*'模板使用说明&amp;基础参数'!$E$10)),IF(J694="中",IF(K694="删除",I694*'模板使用说明&amp;基础参数'!$E$6*'模板使用说明&amp;基础参数'!$E$12,IF(K694="修改",I694*'模板使用说明&amp;基础参数'!$E$6*'模板使用说明&amp;基础参数'!$E$11,I694*'模板使用说明&amp;基础参数'!$E$6*'模板使用说明&amp;基础参数'!$E$10)),IF(K694="删除",I694*'模板使用说明&amp;基础参数'!$E$7*'模板使用说明&amp;基础参数'!$E$12,IF(K694="修改",I694*'模板使用说明&amp;基础参数'!$E$7*'模板使用说明&amp;基础参数'!$E$11,I694*'模板使用说明&amp;基础参数'!$E$7*'模板使用说明&amp;基础参数'!$E$10)))))</f>
        <v>1.06666666666667</v>
      </c>
      <c r="M694" s="95"/>
      <c r="N694" s="99"/>
      <c r="O694" s="100"/>
    </row>
    <row r="695" s="70" customFormat="1" ht="25" customHeight="1" spans="1:15">
      <c r="A695" s="93">
        <v>690</v>
      </c>
      <c r="B695" s="94" t="s">
        <v>72</v>
      </c>
      <c r="C695" s="95" t="s">
        <v>73</v>
      </c>
      <c r="D695" s="95" t="s">
        <v>74</v>
      </c>
      <c r="E695" s="95" t="s">
        <v>74</v>
      </c>
      <c r="F695" s="95" t="s">
        <v>1480</v>
      </c>
      <c r="G695" s="95" t="s">
        <v>1481</v>
      </c>
      <c r="H695" s="93" t="s">
        <v>84</v>
      </c>
      <c r="I695" s="96">
        <f>IF(H695="ILF",IF($C$1="预估功能点",'模板使用说明&amp;基础参数'!$E$15,7),IF(H695="EIF",IF($C$1="预估功能点",'模板使用说明&amp;基础参数'!$E$16,5),IF(H695="EI",IF($C$1="预估功能点",'模板使用说明&amp;基础参数'!$E$17,'模板使用说明&amp;基础参数'!$E$24),IF(H695="EO",IF($C$1="预估功能点",'模板使用说明&amp;基础参数'!$E$18,'模板使用说明&amp;基础参数'!$E$25),IF(H695="EQ",IF($C$1="预估功能点",'模板使用说明&amp;基础参数'!$E$19,'模板使用说明&amp;基础参数'!$E$26),"")))))</f>
        <v>4</v>
      </c>
      <c r="J695" s="97" t="s">
        <v>38</v>
      </c>
      <c r="K695" s="97" t="s">
        <v>78</v>
      </c>
      <c r="L695" s="98">
        <f>IF(I695="","",IF(J695="高",IF(K695="删除",I695*'模板使用说明&amp;基础参数'!$E$5*'模板使用说明&amp;基础参数'!$E$12,IF(K695="修改",I695*'模板使用说明&amp;基础参数'!$E$5*'模板使用说明&amp;基础参数'!$E$11,I695*'模板使用说明&amp;基础参数'!$E$5*'模板使用说明&amp;基础参数'!$E$10)),IF(J695="中",IF(K695="删除",I695*'模板使用说明&amp;基础参数'!$E$6*'模板使用说明&amp;基础参数'!$E$12,IF(K695="修改",I695*'模板使用说明&amp;基础参数'!$E$6*'模板使用说明&amp;基础参数'!$E$11,I695*'模板使用说明&amp;基础参数'!$E$6*'模板使用说明&amp;基础参数'!$E$10)),IF(K695="删除",I695*'模板使用说明&amp;基础参数'!$E$7*'模板使用说明&amp;基础参数'!$E$12,IF(K695="修改",I695*'模板使用说明&amp;基础参数'!$E$7*'模板使用说明&amp;基础参数'!$E$11,I695*'模板使用说明&amp;基础参数'!$E$7*'模板使用说明&amp;基础参数'!$E$10)))))</f>
        <v>1.06666666666667</v>
      </c>
      <c r="M695" s="95"/>
      <c r="N695" s="99"/>
      <c r="O695" s="100"/>
    </row>
    <row r="696" s="70" customFormat="1" ht="25" customHeight="1" spans="1:15">
      <c r="A696" s="93">
        <v>691</v>
      </c>
      <c r="B696" s="94" t="s">
        <v>72</v>
      </c>
      <c r="C696" s="95" t="s">
        <v>73</v>
      </c>
      <c r="D696" s="95" t="s">
        <v>74</v>
      </c>
      <c r="E696" s="95" t="s">
        <v>74</v>
      </c>
      <c r="F696" s="95" t="s">
        <v>1482</v>
      </c>
      <c r="G696" s="95" t="s">
        <v>1483</v>
      </c>
      <c r="H696" s="93" t="s">
        <v>77</v>
      </c>
      <c r="I696" s="96">
        <f>IF(H696="ILF",IF($C$1="预估功能点",'模板使用说明&amp;基础参数'!$E$15,7),IF(H696="EIF",IF($C$1="预估功能点",'模板使用说明&amp;基础参数'!$E$16,5),IF(H696="EI",IF($C$1="预估功能点",'模板使用说明&amp;基础参数'!$E$17,'模板使用说明&amp;基础参数'!$E$24),IF(H696="EO",IF($C$1="预估功能点",'模板使用说明&amp;基础参数'!$E$18,'模板使用说明&amp;基础参数'!$E$25),IF(H696="EQ",IF($C$1="预估功能点",'模板使用说明&amp;基础参数'!$E$19,'模板使用说明&amp;基础参数'!$E$26),"")))))</f>
        <v>7</v>
      </c>
      <c r="J696" s="97" t="s">
        <v>38</v>
      </c>
      <c r="K696" s="97" t="s">
        <v>78</v>
      </c>
      <c r="L696" s="98">
        <f>IF(I696="","",IF(J696="高",IF(K696="删除",I696*'模板使用说明&amp;基础参数'!$E$5*'模板使用说明&amp;基础参数'!$E$12,IF(K696="修改",I696*'模板使用说明&amp;基础参数'!$E$5*'模板使用说明&amp;基础参数'!$E$11,I696*'模板使用说明&amp;基础参数'!$E$5*'模板使用说明&amp;基础参数'!$E$10)),IF(J696="中",IF(K696="删除",I696*'模板使用说明&amp;基础参数'!$E$6*'模板使用说明&amp;基础参数'!$E$12,IF(K696="修改",I696*'模板使用说明&amp;基础参数'!$E$6*'模板使用说明&amp;基础参数'!$E$11,I696*'模板使用说明&amp;基础参数'!$E$6*'模板使用说明&amp;基础参数'!$E$10)),IF(K696="删除",I696*'模板使用说明&amp;基础参数'!$E$7*'模板使用说明&amp;基础参数'!$E$12,IF(K696="修改",I696*'模板使用说明&amp;基础参数'!$E$7*'模板使用说明&amp;基础参数'!$E$11,I696*'模板使用说明&amp;基础参数'!$E$7*'模板使用说明&amp;基础参数'!$E$10)))))</f>
        <v>1.86666666666666</v>
      </c>
      <c r="M696" s="95"/>
      <c r="N696" s="99"/>
      <c r="O696" s="100"/>
    </row>
    <row r="697" s="70" customFormat="1" ht="25" customHeight="1" spans="1:15">
      <c r="A697" s="93">
        <v>692</v>
      </c>
      <c r="B697" s="94" t="s">
        <v>72</v>
      </c>
      <c r="C697" s="95" t="s">
        <v>73</v>
      </c>
      <c r="D697" s="95" t="s">
        <v>74</v>
      </c>
      <c r="E697" s="95" t="s">
        <v>74</v>
      </c>
      <c r="F697" s="95" t="s">
        <v>1484</v>
      </c>
      <c r="G697" s="95" t="s">
        <v>1485</v>
      </c>
      <c r="H697" s="93" t="s">
        <v>81</v>
      </c>
      <c r="I697" s="96">
        <f>IF(H697="ILF",IF($C$1="预估功能点",'模板使用说明&amp;基础参数'!$E$15,7),IF(H697="EIF",IF($C$1="预估功能点",'模板使用说明&amp;基础参数'!$E$16,5),IF(H697="EI",IF($C$1="预估功能点",'模板使用说明&amp;基础参数'!$E$17,'模板使用说明&amp;基础参数'!$E$24),IF(H697="EO",IF($C$1="预估功能点",'模板使用说明&amp;基础参数'!$E$18,'模板使用说明&amp;基础参数'!$E$25),IF(H697="EQ",IF($C$1="预估功能点",'模板使用说明&amp;基础参数'!$E$19,'模板使用说明&amp;基础参数'!$E$26),"")))))</f>
        <v>4</v>
      </c>
      <c r="J697" s="97" t="s">
        <v>38</v>
      </c>
      <c r="K697" s="97" t="s">
        <v>78</v>
      </c>
      <c r="L697" s="98">
        <f>IF(I697="","",IF(J697="高",IF(K697="删除",I697*'模板使用说明&amp;基础参数'!$E$5*'模板使用说明&amp;基础参数'!$E$12,IF(K697="修改",I697*'模板使用说明&amp;基础参数'!$E$5*'模板使用说明&amp;基础参数'!$E$11,I697*'模板使用说明&amp;基础参数'!$E$5*'模板使用说明&amp;基础参数'!$E$10)),IF(J697="中",IF(K697="删除",I697*'模板使用说明&amp;基础参数'!$E$6*'模板使用说明&amp;基础参数'!$E$12,IF(K697="修改",I697*'模板使用说明&amp;基础参数'!$E$6*'模板使用说明&amp;基础参数'!$E$11,I697*'模板使用说明&amp;基础参数'!$E$6*'模板使用说明&amp;基础参数'!$E$10)),IF(K697="删除",I697*'模板使用说明&amp;基础参数'!$E$7*'模板使用说明&amp;基础参数'!$E$12,IF(K697="修改",I697*'模板使用说明&amp;基础参数'!$E$7*'模板使用说明&amp;基础参数'!$E$11,I697*'模板使用说明&amp;基础参数'!$E$7*'模板使用说明&amp;基础参数'!$E$10)))))</f>
        <v>1.06666666666667</v>
      </c>
      <c r="M697" s="95"/>
      <c r="N697" s="99"/>
      <c r="O697" s="100"/>
    </row>
    <row r="698" s="70" customFormat="1" ht="25" customHeight="1" spans="1:15">
      <c r="A698" s="93">
        <v>693</v>
      </c>
      <c r="B698" s="94" t="s">
        <v>72</v>
      </c>
      <c r="C698" s="95" t="s">
        <v>73</v>
      </c>
      <c r="D698" s="95" t="s">
        <v>74</v>
      </c>
      <c r="E698" s="95" t="s">
        <v>74</v>
      </c>
      <c r="F698" s="95" t="s">
        <v>1486</v>
      </c>
      <c r="G698" s="95" t="s">
        <v>1487</v>
      </c>
      <c r="H698" s="93" t="s">
        <v>84</v>
      </c>
      <c r="I698" s="96">
        <f>IF(H698="ILF",IF($C$1="预估功能点",'模板使用说明&amp;基础参数'!$E$15,7),IF(H698="EIF",IF($C$1="预估功能点",'模板使用说明&amp;基础参数'!$E$16,5),IF(H698="EI",IF($C$1="预估功能点",'模板使用说明&amp;基础参数'!$E$17,'模板使用说明&amp;基础参数'!$E$24),IF(H698="EO",IF($C$1="预估功能点",'模板使用说明&amp;基础参数'!$E$18,'模板使用说明&amp;基础参数'!$E$25),IF(H698="EQ",IF($C$1="预估功能点",'模板使用说明&amp;基础参数'!$E$19,'模板使用说明&amp;基础参数'!$E$26),"")))))</f>
        <v>4</v>
      </c>
      <c r="J698" s="97" t="s">
        <v>38</v>
      </c>
      <c r="K698" s="97" t="s">
        <v>78</v>
      </c>
      <c r="L698" s="98">
        <f>IF(I698="","",IF(J698="高",IF(K698="删除",I698*'模板使用说明&amp;基础参数'!$E$5*'模板使用说明&amp;基础参数'!$E$12,IF(K698="修改",I698*'模板使用说明&amp;基础参数'!$E$5*'模板使用说明&amp;基础参数'!$E$11,I698*'模板使用说明&amp;基础参数'!$E$5*'模板使用说明&amp;基础参数'!$E$10)),IF(J698="中",IF(K698="删除",I698*'模板使用说明&amp;基础参数'!$E$6*'模板使用说明&amp;基础参数'!$E$12,IF(K698="修改",I698*'模板使用说明&amp;基础参数'!$E$6*'模板使用说明&amp;基础参数'!$E$11,I698*'模板使用说明&amp;基础参数'!$E$6*'模板使用说明&amp;基础参数'!$E$10)),IF(K698="删除",I698*'模板使用说明&amp;基础参数'!$E$7*'模板使用说明&amp;基础参数'!$E$12,IF(K698="修改",I698*'模板使用说明&amp;基础参数'!$E$7*'模板使用说明&amp;基础参数'!$E$11,I698*'模板使用说明&amp;基础参数'!$E$7*'模板使用说明&amp;基础参数'!$E$10)))))</f>
        <v>1.06666666666667</v>
      </c>
      <c r="M698" s="95"/>
      <c r="N698" s="99"/>
      <c r="O698" s="100"/>
    </row>
    <row r="699" s="70" customFormat="1" ht="25" customHeight="1" spans="1:15">
      <c r="A699" s="93">
        <v>694</v>
      </c>
      <c r="B699" s="94" t="s">
        <v>72</v>
      </c>
      <c r="C699" s="95" t="s">
        <v>73</v>
      </c>
      <c r="D699" s="95" t="s">
        <v>74</v>
      </c>
      <c r="E699" s="95" t="s">
        <v>74</v>
      </c>
      <c r="F699" s="95" t="s">
        <v>1488</v>
      </c>
      <c r="G699" s="95" t="s">
        <v>1489</v>
      </c>
      <c r="H699" s="93" t="s">
        <v>84</v>
      </c>
      <c r="I699" s="96">
        <f>IF(H699="ILF",IF($C$1="预估功能点",'模板使用说明&amp;基础参数'!$E$15,7),IF(H699="EIF",IF($C$1="预估功能点",'模板使用说明&amp;基础参数'!$E$16,5),IF(H699="EI",IF($C$1="预估功能点",'模板使用说明&amp;基础参数'!$E$17,'模板使用说明&amp;基础参数'!$E$24),IF(H699="EO",IF($C$1="预估功能点",'模板使用说明&amp;基础参数'!$E$18,'模板使用说明&amp;基础参数'!$E$25),IF(H699="EQ",IF($C$1="预估功能点",'模板使用说明&amp;基础参数'!$E$19,'模板使用说明&amp;基础参数'!$E$26),"")))))</f>
        <v>4</v>
      </c>
      <c r="J699" s="97" t="s">
        <v>38</v>
      </c>
      <c r="K699" s="97" t="s">
        <v>78</v>
      </c>
      <c r="L699" s="98">
        <f>IF(I699="","",IF(J699="高",IF(K699="删除",I699*'模板使用说明&amp;基础参数'!$E$5*'模板使用说明&amp;基础参数'!$E$12,IF(K699="修改",I699*'模板使用说明&amp;基础参数'!$E$5*'模板使用说明&amp;基础参数'!$E$11,I699*'模板使用说明&amp;基础参数'!$E$5*'模板使用说明&amp;基础参数'!$E$10)),IF(J699="中",IF(K699="删除",I699*'模板使用说明&amp;基础参数'!$E$6*'模板使用说明&amp;基础参数'!$E$12,IF(K699="修改",I699*'模板使用说明&amp;基础参数'!$E$6*'模板使用说明&amp;基础参数'!$E$11,I699*'模板使用说明&amp;基础参数'!$E$6*'模板使用说明&amp;基础参数'!$E$10)),IF(K699="删除",I699*'模板使用说明&amp;基础参数'!$E$7*'模板使用说明&amp;基础参数'!$E$12,IF(K699="修改",I699*'模板使用说明&amp;基础参数'!$E$7*'模板使用说明&amp;基础参数'!$E$11,I699*'模板使用说明&amp;基础参数'!$E$7*'模板使用说明&amp;基础参数'!$E$10)))))</f>
        <v>1.06666666666667</v>
      </c>
      <c r="M699" s="95"/>
      <c r="N699" s="99"/>
      <c r="O699" s="100"/>
    </row>
    <row r="700" s="70" customFormat="1" ht="25" customHeight="1" spans="1:15">
      <c r="A700" s="93">
        <v>695</v>
      </c>
      <c r="B700" s="94" t="s">
        <v>72</v>
      </c>
      <c r="C700" s="95" t="s">
        <v>73</v>
      </c>
      <c r="D700" s="95" t="s">
        <v>74</v>
      </c>
      <c r="E700" s="95" t="s">
        <v>74</v>
      </c>
      <c r="F700" s="95" t="s">
        <v>1490</v>
      </c>
      <c r="G700" s="95" t="s">
        <v>1491</v>
      </c>
      <c r="H700" s="93" t="s">
        <v>84</v>
      </c>
      <c r="I700" s="96">
        <f>IF(H700="ILF",IF($C$1="预估功能点",'模板使用说明&amp;基础参数'!$E$15,7),IF(H700="EIF",IF($C$1="预估功能点",'模板使用说明&amp;基础参数'!$E$16,5),IF(H700="EI",IF($C$1="预估功能点",'模板使用说明&amp;基础参数'!$E$17,'模板使用说明&amp;基础参数'!$E$24),IF(H700="EO",IF($C$1="预估功能点",'模板使用说明&amp;基础参数'!$E$18,'模板使用说明&amp;基础参数'!$E$25),IF(H700="EQ",IF($C$1="预估功能点",'模板使用说明&amp;基础参数'!$E$19,'模板使用说明&amp;基础参数'!$E$26),"")))))</f>
        <v>4</v>
      </c>
      <c r="J700" s="97" t="s">
        <v>38</v>
      </c>
      <c r="K700" s="97" t="s">
        <v>78</v>
      </c>
      <c r="L700" s="98">
        <f>IF(I700="","",IF(J700="高",IF(K700="删除",I700*'模板使用说明&amp;基础参数'!$E$5*'模板使用说明&amp;基础参数'!$E$12,IF(K700="修改",I700*'模板使用说明&amp;基础参数'!$E$5*'模板使用说明&amp;基础参数'!$E$11,I700*'模板使用说明&amp;基础参数'!$E$5*'模板使用说明&amp;基础参数'!$E$10)),IF(J700="中",IF(K700="删除",I700*'模板使用说明&amp;基础参数'!$E$6*'模板使用说明&amp;基础参数'!$E$12,IF(K700="修改",I700*'模板使用说明&amp;基础参数'!$E$6*'模板使用说明&amp;基础参数'!$E$11,I700*'模板使用说明&amp;基础参数'!$E$6*'模板使用说明&amp;基础参数'!$E$10)),IF(K700="删除",I700*'模板使用说明&amp;基础参数'!$E$7*'模板使用说明&amp;基础参数'!$E$12,IF(K700="修改",I700*'模板使用说明&amp;基础参数'!$E$7*'模板使用说明&amp;基础参数'!$E$11,I700*'模板使用说明&amp;基础参数'!$E$7*'模板使用说明&amp;基础参数'!$E$10)))))</f>
        <v>1.06666666666667</v>
      </c>
      <c r="M700" s="95"/>
      <c r="N700" s="99"/>
      <c r="O700" s="100"/>
    </row>
    <row r="701" s="70" customFormat="1" ht="25" customHeight="1" spans="1:15">
      <c r="A701" s="93">
        <v>696</v>
      </c>
      <c r="B701" s="94" t="s">
        <v>72</v>
      </c>
      <c r="C701" s="95" t="s">
        <v>73</v>
      </c>
      <c r="D701" s="95" t="s">
        <v>74</v>
      </c>
      <c r="E701" s="95" t="s">
        <v>74</v>
      </c>
      <c r="F701" s="95" t="s">
        <v>1492</v>
      </c>
      <c r="G701" s="95" t="s">
        <v>1493</v>
      </c>
      <c r="H701" s="93" t="s">
        <v>77</v>
      </c>
      <c r="I701" s="96">
        <f>IF(H701="ILF",IF($C$1="预估功能点",'模板使用说明&amp;基础参数'!$E$15,7),IF(H701="EIF",IF($C$1="预估功能点",'模板使用说明&amp;基础参数'!$E$16,5),IF(H701="EI",IF($C$1="预估功能点",'模板使用说明&amp;基础参数'!$E$17,'模板使用说明&amp;基础参数'!$E$24),IF(H701="EO",IF($C$1="预估功能点",'模板使用说明&amp;基础参数'!$E$18,'模板使用说明&amp;基础参数'!$E$25),IF(H701="EQ",IF($C$1="预估功能点",'模板使用说明&amp;基础参数'!$E$19,'模板使用说明&amp;基础参数'!$E$26),"")))))</f>
        <v>7</v>
      </c>
      <c r="J701" s="97" t="s">
        <v>38</v>
      </c>
      <c r="K701" s="97" t="s">
        <v>78</v>
      </c>
      <c r="L701" s="98">
        <f>IF(I701="","",IF(J701="高",IF(K701="删除",I701*'模板使用说明&amp;基础参数'!$E$5*'模板使用说明&amp;基础参数'!$E$12,IF(K701="修改",I701*'模板使用说明&amp;基础参数'!$E$5*'模板使用说明&amp;基础参数'!$E$11,I701*'模板使用说明&amp;基础参数'!$E$5*'模板使用说明&amp;基础参数'!$E$10)),IF(J701="中",IF(K701="删除",I701*'模板使用说明&amp;基础参数'!$E$6*'模板使用说明&amp;基础参数'!$E$12,IF(K701="修改",I701*'模板使用说明&amp;基础参数'!$E$6*'模板使用说明&amp;基础参数'!$E$11,I701*'模板使用说明&amp;基础参数'!$E$6*'模板使用说明&amp;基础参数'!$E$10)),IF(K701="删除",I701*'模板使用说明&amp;基础参数'!$E$7*'模板使用说明&amp;基础参数'!$E$12,IF(K701="修改",I701*'模板使用说明&amp;基础参数'!$E$7*'模板使用说明&amp;基础参数'!$E$11,I701*'模板使用说明&amp;基础参数'!$E$7*'模板使用说明&amp;基础参数'!$E$10)))))</f>
        <v>1.86666666666666</v>
      </c>
      <c r="M701" s="95"/>
      <c r="N701" s="99"/>
      <c r="O701" s="100"/>
    </row>
    <row r="702" s="70" customFormat="1" ht="25" customHeight="1" spans="1:15">
      <c r="A702" s="93">
        <v>697</v>
      </c>
      <c r="B702" s="94" t="s">
        <v>72</v>
      </c>
      <c r="C702" s="95" t="s">
        <v>73</v>
      </c>
      <c r="D702" s="95" t="s">
        <v>74</v>
      </c>
      <c r="E702" s="95" t="s">
        <v>74</v>
      </c>
      <c r="F702" s="95" t="s">
        <v>1494</v>
      </c>
      <c r="G702" s="95" t="s">
        <v>1495</v>
      </c>
      <c r="H702" s="93" t="s">
        <v>81</v>
      </c>
      <c r="I702" s="96">
        <f>IF(H702="ILF",IF($C$1="预估功能点",'模板使用说明&amp;基础参数'!$E$15,7),IF(H702="EIF",IF($C$1="预估功能点",'模板使用说明&amp;基础参数'!$E$16,5),IF(H702="EI",IF($C$1="预估功能点",'模板使用说明&amp;基础参数'!$E$17,'模板使用说明&amp;基础参数'!$E$24),IF(H702="EO",IF($C$1="预估功能点",'模板使用说明&amp;基础参数'!$E$18,'模板使用说明&amp;基础参数'!$E$25),IF(H702="EQ",IF($C$1="预估功能点",'模板使用说明&amp;基础参数'!$E$19,'模板使用说明&amp;基础参数'!$E$26),"")))))</f>
        <v>4</v>
      </c>
      <c r="J702" s="97" t="s">
        <v>38</v>
      </c>
      <c r="K702" s="97" t="s">
        <v>78</v>
      </c>
      <c r="L702" s="98">
        <f>IF(I702="","",IF(J702="高",IF(K702="删除",I702*'模板使用说明&amp;基础参数'!$E$5*'模板使用说明&amp;基础参数'!$E$12,IF(K702="修改",I702*'模板使用说明&amp;基础参数'!$E$5*'模板使用说明&amp;基础参数'!$E$11,I702*'模板使用说明&amp;基础参数'!$E$5*'模板使用说明&amp;基础参数'!$E$10)),IF(J702="中",IF(K702="删除",I702*'模板使用说明&amp;基础参数'!$E$6*'模板使用说明&amp;基础参数'!$E$12,IF(K702="修改",I702*'模板使用说明&amp;基础参数'!$E$6*'模板使用说明&amp;基础参数'!$E$11,I702*'模板使用说明&amp;基础参数'!$E$6*'模板使用说明&amp;基础参数'!$E$10)),IF(K702="删除",I702*'模板使用说明&amp;基础参数'!$E$7*'模板使用说明&amp;基础参数'!$E$12,IF(K702="修改",I702*'模板使用说明&amp;基础参数'!$E$7*'模板使用说明&amp;基础参数'!$E$11,I702*'模板使用说明&amp;基础参数'!$E$7*'模板使用说明&amp;基础参数'!$E$10)))))</f>
        <v>1.06666666666667</v>
      </c>
      <c r="M702" s="95"/>
      <c r="N702" s="99"/>
      <c r="O702" s="100"/>
    </row>
    <row r="703" s="70" customFormat="1" ht="25" customHeight="1" spans="1:15">
      <c r="A703" s="93">
        <v>698</v>
      </c>
      <c r="B703" s="94" t="s">
        <v>72</v>
      </c>
      <c r="C703" s="95" t="s">
        <v>73</v>
      </c>
      <c r="D703" s="95" t="s">
        <v>74</v>
      </c>
      <c r="E703" s="95" t="s">
        <v>74</v>
      </c>
      <c r="F703" s="95" t="s">
        <v>1496</v>
      </c>
      <c r="G703" s="95" t="s">
        <v>1497</v>
      </c>
      <c r="H703" s="93" t="s">
        <v>84</v>
      </c>
      <c r="I703" s="96">
        <f>IF(H703="ILF",IF($C$1="预估功能点",'模板使用说明&amp;基础参数'!$E$15,7),IF(H703="EIF",IF($C$1="预估功能点",'模板使用说明&amp;基础参数'!$E$16,5),IF(H703="EI",IF($C$1="预估功能点",'模板使用说明&amp;基础参数'!$E$17,'模板使用说明&amp;基础参数'!$E$24),IF(H703="EO",IF($C$1="预估功能点",'模板使用说明&amp;基础参数'!$E$18,'模板使用说明&amp;基础参数'!$E$25),IF(H703="EQ",IF($C$1="预估功能点",'模板使用说明&amp;基础参数'!$E$19,'模板使用说明&amp;基础参数'!$E$26),"")))))</f>
        <v>4</v>
      </c>
      <c r="J703" s="97" t="s">
        <v>38</v>
      </c>
      <c r="K703" s="97" t="s">
        <v>78</v>
      </c>
      <c r="L703" s="98">
        <f>IF(I703="","",IF(J703="高",IF(K703="删除",I703*'模板使用说明&amp;基础参数'!$E$5*'模板使用说明&amp;基础参数'!$E$12,IF(K703="修改",I703*'模板使用说明&amp;基础参数'!$E$5*'模板使用说明&amp;基础参数'!$E$11,I703*'模板使用说明&amp;基础参数'!$E$5*'模板使用说明&amp;基础参数'!$E$10)),IF(J703="中",IF(K703="删除",I703*'模板使用说明&amp;基础参数'!$E$6*'模板使用说明&amp;基础参数'!$E$12,IF(K703="修改",I703*'模板使用说明&amp;基础参数'!$E$6*'模板使用说明&amp;基础参数'!$E$11,I703*'模板使用说明&amp;基础参数'!$E$6*'模板使用说明&amp;基础参数'!$E$10)),IF(K703="删除",I703*'模板使用说明&amp;基础参数'!$E$7*'模板使用说明&amp;基础参数'!$E$12,IF(K703="修改",I703*'模板使用说明&amp;基础参数'!$E$7*'模板使用说明&amp;基础参数'!$E$11,I703*'模板使用说明&amp;基础参数'!$E$7*'模板使用说明&amp;基础参数'!$E$10)))))</f>
        <v>1.06666666666667</v>
      </c>
      <c r="M703" s="95"/>
      <c r="N703" s="99"/>
      <c r="O703" s="100"/>
    </row>
    <row r="704" s="70" customFormat="1" ht="25" customHeight="1" spans="1:15">
      <c r="A704" s="93">
        <v>699</v>
      </c>
      <c r="B704" s="94" t="s">
        <v>72</v>
      </c>
      <c r="C704" s="95" t="s">
        <v>73</v>
      </c>
      <c r="D704" s="95" t="s">
        <v>74</v>
      </c>
      <c r="E704" s="95" t="s">
        <v>74</v>
      </c>
      <c r="F704" s="101" t="s">
        <v>1498</v>
      </c>
      <c r="G704" s="95" t="s">
        <v>1499</v>
      </c>
      <c r="H704" s="93" t="s">
        <v>84</v>
      </c>
      <c r="I704" s="96">
        <f>IF(H704="ILF",IF($C$1="预估功能点",'模板使用说明&amp;基础参数'!$E$15,7),IF(H704="EIF",IF($C$1="预估功能点",'模板使用说明&amp;基础参数'!$E$16,5),IF(H704="EI",IF($C$1="预估功能点",'模板使用说明&amp;基础参数'!$E$17,'模板使用说明&amp;基础参数'!$E$24),IF(H704="EO",IF($C$1="预估功能点",'模板使用说明&amp;基础参数'!$E$18,'模板使用说明&amp;基础参数'!$E$25),IF(H704="EQ",IF($C$1="预估功能点",'模板使用说明&amp;基础参数'!$E$19,'模板使用说明&amp;基础参数'!$E$26),"")))))</f>
        <v>4</v>
      </c>
      <c r="J704" s="97" t="s">
        <v>38</v>
      </c>
      <c r="K704" s="97" t="s">
        <v>78</v>
      </c>
      <c r="L704" s="98">
        <f>IF(I704="","",IF(J704="高",IF(K704="删除",I704*'模板使用说明&amp;基础参数'!$E$5*'模板使用说明&amp;基础参数'!$E$12,IF(K704="修改",I704*'模板使用说明&amp;基础参数'!$E$5*'模板使用说明&amp;基础参数'!$E$11,I704*'模板使用说明&amp;基础参数'!$E$5*'模板使用说明&amp;基础参数'!$E$10)),IF(J704="中",IF(K704="删除",I704*'模板使用说明&amp;基础参数'!$E$6*'模板使用说明&amp;基础参数'!$E$12,IF(K704="修改",I704*'模板使用说明&amp;基础参数'!$E$6*'模板使用说明&amp;基础参数'!$E$11,I704*'模板使用说明&amp;基础参数'!$E$6*'模板使用说明&amp;基础参数'!$E$10)),IF(K704="删除",I704*'模板使用说明&amp;基础参数'!$E$7*'模板使用说明&amp;基础参数'!$E$12,IF(K704="修改",I704*'模板使用说明&amp;基础参数'!$E$7*'模板使用说明&amp;基础参数'!$E$11,I704*'模板使用说明&amp;基础参数'!$E$7*'模板使用说明&amp;基础参数'!$E$10)))))</f>
        <v>1.06666666666667</v>
      </c>
      <c r="M704" s="95"/>
      <c r="N704" s="99"/>
      <c r="O704" s="100"/>
    </row>
    <row r="705" s="70" customFormat="1" ht="25" customHeight="1" spans="1:15">
      <c r="A705" s="93">
        <v>700</v>
      </c>
      <c r="B705" s="94" t="s">
        <v>72</v>
      </c>
      <c r="C705" s="95" t="s">
        <v>73</v>
      </c>
      <c r="D705" s="95" t="s">
        <v>74</v>
      </c>
      <c r="E705" s="95" t="s">
        <v>74</v>
      </c>
      <c r="F705" s="101" t="s">
        <v>1500</v>
      </c>
      <c r="G705" s="95" t="s">
        <v>1501</v>
      </c>
      <c r="H705" s="93" t="s">
        <v>84</v>
      </c>
      <c r="I705" s="96">
        <f>IF(H705="ILF",IF($C$1="预估功能点",'模板使用说明&amp;基础参数'!$E$15,7),IF(H705="EIF",IF($C$1="预估功能点",'模板使用说明&amp;基础参数'!$E$16,5),IF(H705="EI",IF($C$1="预估功能点",'模板使用说明&amp;基础参数'!$E$17,'模板使用说明&amp;基础参数'!$E$24),IF(H705="EO",IF($C$1="预估功能点",'模板使用说明&amp;基础参数'!$E$18,'模板使用说明&amp;基础参数'!$E$25),IF(H705="EQ",IF($C$1="预估功能点",'模板使用说明&amp;基础参数'!$E$19,'模板使用说明&amp;基础参数'!$E$26),"")))))</f>
        <v>4</v>
      </c>
      <c r="J705" s="97" t="s">
        <v>38</v>
      </c>
      <c r="K705" s="97" t="s">
        <v>78</v>
      </c>
      <c r="L705" s="98">
        <f>IF(I705="","",IF(J705="高",IF(K705="删除",I705*'模板使用说明&amp;基础参数'!$E$5*'模板使用说明&amp;基础参数'!$E$12,IF(K705="修改",I705*'模板使用说明&amp;基础参数'!$E$5*'模板使用说明&amp;基础参数'!$E$11,I705*'模板使用说明&amp;基础参数'!$E$5*'模板使用说明&amp;基础参数'!$E$10)),IF(J705="中",IF(K705="删除",I705*'模板使用说明&amp;基础参数'!$E$6*'模板使用说明&amp;基础参数'!$E$12,IF(K705="修改",I705*'模板使用说明&amp;基础参数'!$E$6*'模板使用说明&amp;基础参数'!$E$11,I705*'模板使用说明&amp;基础参数'!$E$6*'模板使用说明&amp;基础参数'!$E$10)),IF(K705="删除",I705*'模板使用说明&amp;基础参数'!$E$7*'模板使用说明&amp;基础参数'!$E$12,IF(K705="修改",I705*'模板使用说明&amp;基础参数'!$E$7*'模板使用说明&amp;基础参数'!$E$11,I705*'模板使用说明&amp;基础参数'!$E$7*'模板使用说明&amp;基础参数'!$E$10)))))</f>
        <v>1.06666666666667</v>
      </c>
      <c r="M705" s="95"/>
      <c r="N705" s="99"/>
      <c r="O705" s="100"/>
    </row>
    <row r="706" s="70" customFormat="1" ht="25" customHeight="1" spans="1:15">
      <c r="A706" s="93">
        <v>701</v>
      </c>
      <c r="B706" s="94" t="s">
        <v>72</v>
      </c>
      <c r="C706" s="95" t="s">
        <v>73</v>
      </c>
      <c r="D706" s="95" t="s">
        <v>74</v>
      </c>
      <c r="E706" s="95" t="s">
        <v>74</v>
      </c>
      <c r="F706" s="101" t="s">
        <v>1502</v>
      </c>
      <c r="G706" s="95" t="s">
        <v>1503</v>
      </c>
      <c r="H706" s="93" t="s">
        <v>77</v>
      </c>
      <c r="I706" s="96">
        <f>IF(H706="ILF",IF($C$1="预估功能点",'模板使用说明&amp;基础参数'!$E$15,7),IF(H706="EIF",IF($C$1="预估功能点",'模板使用说明&amp;基础参数'!$E$16,5),IF(H706="EI",IF($C$1="预估功能点",'模板使用说明&amp;基础参数'!$E$17,'模板使用说明&amp;基础参数'!$E$24),IF(H706="EO",IF($C$1="预估功能点",'模板使用说明&amp;基础参数'!$E$18,'模板使用说明&amp;基础参数'!$E$25),IF(H706="EQ",IF($C$1="预估功能点",'模板使用说明&amp;基础参数'!$E$19,'模板使用说明&amp;基础参数'!$E$26),"")))))</f>
        <v>7</v>
      </c>
      <c r="J706" s="97" t="s">
        <v>38</v>
      </c>
      <c r="K706" s="97" t="s">
        <v>78</v>
      </c>
      <c r="L706" s="98">
        <f>IF(I706="","",IF(J706="高",IF(K706="删除",I706*'模板使用说明&amp;基础参数'!$E$5*'模板使用说明&amp;基础参数'!$E$12,IF(K706="修改",I706*'模板使用说明&amp;基础参数'!$E$5*'模板使用说明&amp;基础参数'!$E$11,I706*'模板使用说明&amp;基础参数'!$E$5*'模板使用说明&amp;基础参数'!$E$10)),IF(J706="中",IF(K706="删除",I706*'模板使用说明&amp;基础参数'!$E$6*'模板使用说明&amp;基础参数'!$E$12,IF(K706="修改",I706*'模板使用说明&amp;基础参数'!$E$6*'模板使用说明&amp;基础参数'!$E$11,I706*'模板使用说明&amp;基础参数'!$E$6*'模板使用说明&amp;基础参数'!$E$10)),IF(K706="删除",I706*'模板使用说明&amp;基础参数'!$E$7*'模板使用说明&amp;基础参数'!$E$12,IF(K706="修改",I706*'模板使用说明&amp;基础参数'!$E$7*'模板使用说明&amp;基础参数'!$E$11,I706*'模板使用说明&amp;基础参数'!$E$7*'模板使用说明&amp;基础参数'!$E$10)))))</f>
        <v>1.86666666666666</v>
      </c>
      <c r="M706" s="95"/>
      <c r="N706" s="99"/>
      <c r="O706" s="100"/>
    </row>
    <row r="707" s="70" customFormat="1" ht="25" customHeight="1" spans="1:15">
      <c r="A707" s="93">
        <v>702</v>
      </c>
      <c r="B707" s="94" t="s">
        <v>72</v>
      </c>
      <c r="C707" s="95" t="s">
        <v>73</v>
      </c>
      <c r="D707" s="95" t="s">
        <v>74</v>
      </c>
      <c r="E707" s="95" t="s">
        <v>74</v>
      </c>
      <c r="F707" s="101" t="s">
        <v>1504</v>
      </c>
      <c r="G707" s="95" t="s">
        <v>1505</v>
      </c>
      <c r="H707" s="93" t="s">
        <v>81</v>
      </c>
      <c r="I707" s="96">
        <f>IF(H707="ILF",IF($C$1="预估功能点",'模板使用说明&amp;基础参数'!$E$15,7),IF(H707="EIF",IF($C$1="预估功能点",'模板使用说明&amp;基础参数'!$E$16,5),IF(H707="EI",IF($C$1="预估功能点",'模板使用说明&amp;基础参数'!$E$17,'模板使用说明&amp;基础参数'!$E$24),IF(H707="EO",IF($C$1="预估功能点",'模板使用说明&amp;基础参数'!$E$18,'模板使用说明&amp;基础参数'!$E$25),IF(H707="EQ",IF($C$1="预估功能点",'模板使用说明&amp;基础参数'!$E$19,'模板使用说明&amp;基础参数'!$E$26),"")))))</f>
        <v>4</v>
      </c>
      <c r="J707" s="97" t="s">
        <v>38</v>
      </c>
      <c r="K707" s="97" t="s">
        <v>78</v>
      </c>
      <c r="L707" s="98">
        <f>IF(I707="","",IF(J707="高",IF(K707="删除",I707*'模板使用说明&amp;基础参数'!$E$5*'模板使用说明&amp;基础参数'!$E$12,IF(K707="修改",I707*'模板使用说明&amp;基础参数'!$E$5*'模板使用说明&amp;基础参数'!$E$11,I707*'模板使用说明&amp;基础参数'!$E$5*'模板使用说明&amp;基础参数'!$E$10)),IF(J707="中",IF(K707="删除",I707*'模板使用说明&amp;基础参数'!$E$6*'模板使用说明&amp;基础参数'!$E$12,IF(K707="修改",I707*'模板使用说明&amp;基础参数'!$E$6*'模板使用说明&amp;基础参数'!$E$11,I707*'模板使用说明&amp;基础参数'!$E$6*'模板使用说明&amp;基础参数'!$E$10)),IF(K707="删除",I707*'模板使用说明&amp;基础参数'!$E$7*'模板使用说明&amp;基础参数'!$E$12,IF(K707="修改",I707*'模板使用说明&amp;基础参数'!$E$7*'模板使用说明&amp;基础参数'!$E$11,I707*'模板使用说明&amp;基础参数'!$E$7*'模板使用说明&amp;基础参数'!$E$10)))))</f>
        <v>1.06666666666667</v>
      </c>
      <c r="M707" s="95"/>
      <c r="N707" s="99"/>
      <c r="O707" s="100"/>
    </row>
    <row r="708" s="70" customFormat="1" ht="25" customHeight="1" spans="1:15">
      <c r="A708" s="93">
        <v>703</v>
      </c>
      <c r="B708" s="94" t="s">
        <v>72</v>
      </c>
      <c r="C708" s="95" t="s">
        <v>73</v>
      </c>
      <c r="D708" s="95" t="s">
        <v>74</v>
      </c>
      <c r="E708" s="95" t="s">
        <v>74</v>
      </c>
      <c r="F708" s="101" t="s">
        <v>1506</v>
      </c>
      <c r="G708" s="95" t="s">
        <v>1507</v>
      </c>
      <c r="H708" s="93" t="s">
        <v>84</v>
      </c>
      <c r="I708" s="96">
        <f>IF(H708="ILF",IF($C$1="预估功能点",'模板使用说明&amp;基础参数'!$E$15,7),IF(H708="EIF",IF($C$1="预估功能点",'模板使用说明&amp;基础参数'!$E$16,5),IF(H708="EI",IF($C$1="预估功能点",'模板使用说明&amp;基础参数'!$E$17,'模板使用说明&amp;基础参数'!$E$24),IF(H708="EO",IF($C$1="预估功能点",'模板使用说明&amp;基础参数'!$E$18,'模板使用说明&amp;基础参数'!$E$25),IF(H708="EQ",IF($C$1="预估功能点",'模板使用说明&amp;基础参数'!$E$19,'模板使用说明&amp;基础参数'!$E$26),"")))))</f>
        <v>4</v>
      </c>
      <c r="J708" s="97" t="s">
        <v>38</v>
      </c>
      <c r="K708" s="97" t="s">
        <v>78</v>
      </c>
      <c r="L708" s="98">
        <f>IF(I708="","",IF(J708="高",IF(K708="删除",I708*'模板使用说明&amp;基础参数'!$E$5*'模板使用说明&amp;基础参数'!$E$12,IF(K708="修改",I708*'模板使用说明&amp;基础参数'!$E$5*'模板使用说明&amp;基础参数'!$E$11,I708*'模板使用说明&amp;基础参数'!$E$5*'模板使用说明&amp;基础参数'!$E$10)),IF(J708="中",IF(K708="删除",I708*'模板使用说明&amp;基础参数'!$E$6*'模板使用说明&amp;基础参数'!$E$12,IF(K708="修改",I708*'模板使用说明&amp;基础参数'!$E$6*'模板使用说明&amp;基础参数'!$E$11,I708*'模板使用说明&amp;基础参数'!$E$6*'模板使用说明&amp;基础参数'!$E$10)),IF(K708="删除",I708*'模板使用说明&amp;基础参数'!$E$7*'模板使用说明&amp;基础参数'!$E$12,IF(K708="修改",I708*'模板使用说明&amp;基础参数'!$E$7*'模板使用说明&amp;基础参数'!$E$11,I708*'模板使用说明&amp;基础参数'!$E$7*'模板使用说明&amp;基础参数'!$E$10)))))</f>
        <v>1.06666666666667</v>
      </c>
      <c r="M708" s="95"/>
      <c r="N708" s="99"/>
      <c r="O708" s="100"/>
    </row>
    <row r="709" s="70" customFormat="1" ht="25" customHeight="1" spans="1:15">
      <c r="A709" s="93">
        <v>704</v>
      </c>
      <c r="B709" s="94" t="s">
        <v>72</v>
      </c>
      <c r="C709" s="95" t="s">
        <v>73</v>
      </c>
      <c r="D709" s="95" t="s">
        <v>74</v>
      </c>
      <c r="E709" s="95" t="s">
        <v>74</v>
      </c>
      <c r="F709" s="95" t="s">
        <v>1508</v>
      </c>
      <c r="G709" s="95" t="s">
        <v>1509</v>
      </c>
      <c r="H709" s="93" t="s">
        <v>84</v>
      </c>
      <c r="I709" s="96">
        <f>IF(H709="ILF",IF($C$1="预估功能点",'模板使用说明&amp;基础参数'!$E$15,7),IF(H709="EIF",IF($C$1="预估功能点",'模板使用说明&amp;基础参数'!$E$16,5),IF(H709="EI",IF($C$1="预估功能点",'模板使用说明&amp;基础参数'!$E$17,'模板使用说明&amp;基础参数'!$E$24),IF(H709="EO",IF($C$1="预估功能点",'模板使用说明&amp;基础参数'!$E$18,'模板使用说明&amp;基础参数'!$E$25),IF(H709="EQ",IF($C$1="预估功能点",'模板使用说明&amp;基础参数'!$E$19,'模板使用说明&amp;基础参数'!$E$26),"")))))</f>
        <v>4</v>
      </c>
      <c r="J709" s="97" t="s">
        <v>38</v>
      </c>
      <c r="K709" s="97" t="s">
        <v>78</v>
      </c>
      <c r="L709" s="98">
        <f>IF(I709="","",IF(J709="高",IF(K709="删除",I709*'模板使用说明&amp;基础参数'!$E$5*'模板使用说明&amp;基础参数'!$E$12,IF(K709="修改",I709*'模板使用说明&amp;基础参数'!$E$5*'模板使用说明&amp;基础参数'!$E$11,I709*'模板使用说明&amp;基础参数'!$E$5*'模板使用说明&amp;基础参数'!$E$10)),IF(J709="中",IF(K709="删除",I709*'模板使用说明&amp;基础参数'!$E$6*'模板使用说明&amp;基础参数'!$E$12,IF(K709="修改",I709*'模板使用说明&amp;基础参数'!$E$6*'模板使用说明&amp;基础参数'!$E$11,I709*'模板使用说明&amp;基础参数'!$E$6*'模板使用说明&amp;基础参数'!$E$10)),IF(K709="删除",I709*'模板使用说明&amp;基础参数'!$E$7*'模板使用说明&amp;基础参数'!$E$12,IF(K709="修改",I709*'模板使用说明&amp;基础参数'!$E$7*'模板使用说明&amp;基础参数'!$E$11,I709*'模板使用说明&amp;基础参数'!$E$7*'模板使用说明&amp;基础参数'!$E$10)))))</f>
        <v>1.06666666666667</v>
      </c>
      <c r="M709" s="95"/>
      <c r="N709" s="99"/>
      <c r="O709" s="100"/>
    </row>
    <row r="710" s="70" customFormat="1" ht="25" customHeight="1" spans="1:15">
      <c r="A710" s="93">
        <v>705</v>
      </c>
      <c r="B710" s="94" t="s">
        <v>72</v>
      </c>
      <c r="C710" s="95" t="s">
        <v>73</v>
      </c>
      <c r="D710" s="95" t="s">
        <v>74</v>
      </c>
      <c r="E710" s="95" t="s">
        <v>74</v>
      </c>
      <c r="F710" s="95" t="s">
        <v>1510</v>
      </c>
      <c r="G710" s="95" t="s">
        <v>1511</v>
      </c>
      <c r="H710" s="93" t="s">
        <v>84</v>
      </c>
      <c r="I710" s="96">
        <f>IF(H710="ILF",IF($C$1="预估功能点",'模板使用说明&amp;基础参数'!$E$15,7),IF(H710="EIF",IF($C$1="预估功能点",'模板使用说明&amp;基础参数'!$E$16,5),IF(H710="EI",IF($C$1="预估功能点",'模板使用说明&amp;基础参数'!$E$17,'模板使用说明&amp;基础参数'!$E$24),IF(H710="EO",IF($C$1="预估功能点",'模板使用说明&amp;基础参数'!$E$18,'模板使用说明&amp;基础参数'!$E$25),IF(H710="EQ",IF($C$1="预估功能点",'模板使用说明&amp;基础参数'!$E$19,'模板使用说明&amp;基础参数'!$E$26),"")))))</f>
        <v>4</v>
      </c>
      <c r="J710" s="97" t="s">
        <v>38</v>
      </c>
      <c r="K710" s="97" t="s">
        <v>78</v>
      </c>
      <c r="L710" s="98">
        <f>IF(I710="","",IF(J710="高",IF(K710="删除",I710*'模板使用说明&amp;基础参数'!$E$5*'模板使用说明&amp;基础参数'!$E$12,IF(K710="修改",I710*'模板使用说明&amp;基础参数'!$E$5*'模板使用说明&amp;基础参数'!$E$11,I710*'模板使用说明&amp;基础参数'!$E$5*'模板使用说明&amp;基础参数'!$E$10)),IF(J710="中",IF(K710="删除",I710*'模板使用说明&amp;基础参数'!$E$6*'模板使用说明&amp;基础参数'!$E$12,IF(K710="修改",I710*'模板使用说明&amp;基础参数'!$E$6*'模板使用说明&amp;基础参数'!$E$11,I710*'模板使用说明&amp;基础参数'!$E$6*'模板使用说明&amp;基础参数'!$E$10)),IF(K710="删除",I710*'模板使用说明&amp;基础参数'!$E$7*'模板使用说明&amp;基础参数'!$E$12,IF(K710="修改",I710*'模板使用说明&amp;基础参数'!$E$7*'模板使用说明&amp;基础参数'!$E$11,I710*'模板使用说明&amp;基础参数'!$E$7*'模板使用说明&amp;基础参数'!$E$10)))))</f>
        <v>1.06666666666667</v>
      </c>
      <c r="M710" s="95"/>
      <c r="N710" s="99"/>
      <c r="O710" s="100"/>
    </row>
    <row r="711" s="70" customFormat="1" ht="25" customHeight="1" spans="1:15">
      <c r="A711" s="93">
        <v>706</v>
      </c>
      <c r="B711" s="94" t="s">
        <v>72</v>
      </c>
      <c r="C711" s="95" t="s">
        <v>129</v>
      </c>
      <c r="D711" s="95" t="s">
        <v>130</v>
      </c>
      <c r="E711" s="95" t="s">
        <v>130</v>
      </c>
      <c r="F711" s="95" t="s">
        <v>1512</v>
      </c>
      <c r="G711" s="95" t="s">
        <v>1513</v>
      </c>
      <c r="H711" s="93" t="s">
        <v>77</v>
      </c>
      <c r="I711" s="96">
        <f>IF(H711="ILF",IF($C$1="预估功能点",'模板使用说明&amp;基础参数'!$E$15,7),IF(H711="EIF",IF($C$1="预估功能点",'模板使用说明&amp;基础参数'!$E$16,5),IF(H711="EI",IF($C$1="预估功能点",'模板使用说明&amp;基础参数'!$E$17,'模板使用说明&amp;基础参数'!$E$24),IF(H711="EO",IF($C$1="预估功能点",'模板使用说明&amp;基础参数'!$E$18,'模板使用说明&amp;基础参数'!$E$25),IF(H711="EQ",IF($C$1="预估功能点",'模板使用说明&amp;基础参数'!$E$19,'模板使用说明&amp;基础参数'!$E$26),"")))))</f>
        <v>7</v>
      </c>
      <c r="J711" s="97" t="s">
        <v>38</v>
      </c>
      <c r="K711" s="97" t="s">
        <v>78</v>
      </c>
      <c r="L711" s="98">
        <f>IF(I711="","",IF(J711="高",IF(K711="删除",I711*'模板使用说明&amp;基础参数'!$E$5*'模板使用说明&amp;基础参数'!$E$12,IF(K711="修改",I711*'模板使用说明&amp;基础参数'!$E$5*'模板使用说明&amp;基础参数'!$E$11,I711*'模板使用说明&amp;基础参数'!$E$5*'模板使用说明&amp;基础参数'!$E$10)),IF(J711="中",IF(K711="删除",I711*'模板使用说明&amp;基础参数'!$E$6*'模板使用说明&amp;基础参数'!$E$12,IF(K711="修改",I711*'模板使用说明&amp;基础参数'!$E$6*'模板使用说明&amp;基础参数'!$E$11,I711*'模板使用说明&amp;基础参数'!$E$6*'模板使用说明&amp;基础参数'!$E$10)),IF(K711="删除",I711*'模板使用说明&amp;基础参数'!$E$7*'模板使用说明&amp;基础参数'!$E$12,IF(K711="修改",I711*'模板使用说明&amp;基础参数'!$E$7*'模板使用说明&amp;基础参数'!$E$11,I711*'模板使用说明&amp;基础参数'!$E$7*'模板使用说明&amp;基础参数'!$E$10)))))</f>
        <v>1.86666666666666</v>
      </c>
      <c r="M711" s="95"/>
      <c r="N711" s="99"/>
      <c r="O711" s="100"/>
    </row>
    <row r="712" s="70" customFormat="1" ht="25" customHeight="1" spans="1:15">
      <c r="A712" s="93">
        <v>707</v>
      </c>
      <c r="B712" s="94" t="s">
        <v>72</v>
      </c>
      <c r="C712" s="95" t="s">
        <v>129</v>
      </c>
      <c r="D712" s="95" t="s">
        <v>130</v>
      </c>
      <c r="E712" s="95" t="s">
        <v>130</v>
      </c>
      <c r="F712" s="95" t="s">
        <v>1514</v>
      </c>
      <c r="G712" s="95" t="s">
        <v>1515</v>
      </c>
      <c r="H712" s="93" t="s">
        <v>135</v>
      </c>
      <c r="I712" s="96">
        <f>IF(H712="ILF",IF($C$1="预估功能点",'模板使用说明&amp;基础参数'!$E$15,7),IF(H712="EIF",IF($C$1="预估功能点",'模板使用说明&amp;基础参数'!$E$16,5),IF(H712="EI",IF($C$1="预估功能点",'模板使用说明&amp;基础参数'!$E$17,'模板使用说明&amp;基础参数'!$E$24),IF(H712="EO",IF($C$1="预估功能点",'模板使用说明&amp;基础参数'!$E$18,'模板使用说明&amp;基础参数'!$E$25),IF(H712="EQ",IF($C$1="预估功能点",'模板使用说明&amp;基础参数'!$E$19,'模板使用说明&amp;基础参数'!$E$26),"")))))</f>
        <v>5</v>
      </c>
      <c r="J712" s="97" t="s">
        <v>38</v>
      </c>
      <c r="K712" s="97" t="s">
        <v>78</v>
      </c>
      <c r="L712" s="98">
        <f>IF(I712="","",IF(J712="高",IF(K712="删除",I712*'模板使用说明&amp;基础参数'!$E$5*'模板使用说明&amp;基础参数'!$E$12,IF(K712="修改",I712*'模板使用说明&amp;基础参数'!$E$5*'模板使用说明&amp;基础参数'!$E$11,I712*'模板使用说明&amp;基础参数'!$E$5*'模板使用说明&amp;基础参数'!$E$10)),IF(J712="中",IF(K712="删除",I712*'模板使用说明&amp;基础参数'!$E$6*'模板使用说明&amp;基础参数'!$E$12,IF(K712="修改",I712*'模板使用说明&amp;基础参数'!$E$6*'模板使用说明&amp;基础参数'!$E$11,I712*'模板使用说明&amp;基础参数'!$E$6*'模板使用说明&amp;基础参数'!$E$10)),IF(K712="删除",I712*'模板使用说明&amp;基础参数'!$E$7*'模板使用说明&amp;基础参数'!$E$12,IF(K712="修改",I712*'模板使用说明&amp;基础参数'!$E$7*'模板使用说明&amp;基础参数'!$E$11,I712*'模板使用说明&amp;基础参数'!$E$7*'模板使用说明&amp;基础参数'!$E$10)))))</f>
        <v>1.33333333333333</v>
      </c>
      <c r="M712" s="95"/>
      <c r="N712" s="99"/>
      <c r="O712" s="100"/>
    </row>
    <row r="713" s="70" customFormat="1" ht="25" customHeight="1" spans="1:15">
      <c r="A713" s="93">
        <v>708</v>
      </c>
      <c r="B713" s="94" t="s">
        <v>72</v>
      </c>
      <c r="C713" s="95" t="s">
        <v>129</v>
      </c>
      <c r="D713" s="95" t="s">
        <v>130</v>
      </c>
      <c r="E713" s="95" t="s">
        <v>130</v>
      </c>
      <c r="F713" s="95" t="s">
        <v>1516</v>
      </c>
      <c r="G713" s="95" t="s">
        <v>1517</v>
      </c>
      <c r="H713" s="93" t="s">
        <v>81</v>
      </c>
      <c r="I713" s="96">
        <f>IF(H713="ILF",IF($C$1="预估功能点",'模板使用说明&amp;基础参数'!$E$15,7),IF(H713="EIF",IF($C$1="预估功能点",'模板使用说明&amp;基础参数'!$E$16,5),IF(H713="EI",IF($C$1="预估功能点",'模板使用说明&amp;基础参数'!$E$17,'模板使用说明&amp;基础参数'!$E$24),IF(H713="EO",IF($C$1="预估功能点",'模板使用说明&amp;基础参数'!$E$18,'模板使用说明&amp;基础参数'!$E$25),IF(H713="EQ",IF($C$1="预估功能点",'模板使用说明&amp;基础参数'!$E$19,'模板使用说明&amp;基础参数'!$E$26),"")))))</f>
        <v>4</v>
      </c>
      <c r="J713" s="97" t="s">
        <v>38</v>
      </c>
      <c r="K713" s="97" t="s">
        <v>78</v>
      </c>
      <c r="L713" s="98">
        <f>IF(I713="","",IF(J713="高",IF(K713="删除",I713*'模板使用说明&amp;基础参数'!$E$5*'模板使用说明&amp;基础参数'!$E$12,IF(K713="修改",I713*'模板使用说明&amp;基础参数'!$E$5*'模板使用说明&amp;基础参数'!$E$11,I713*'模板使用说明&amp;基础参数'!$E$5*'模板使用说明&amp;基础参数'!$E$10)),IF(J713="中",IF(K713="删除",I713*'模板使用说明&amp;基础参数'!$E$6*'模板使用说明&amp;基础参数'!$E$12,IF(K713="修改",I713*'模板使用说明&amp;基础参数'!$E$6*'模板使用说明&amp;基础参数'!$E$11,I713*'模板使用说明&amp;基础参数'!$E$6*'模板使用说明&amp;基础参数'!$E$10)),IF(K713="删除",I713*'模板使用说明&amp;基础参数'!$E$7*'模板使用说明&amp;基础参数'!$E$12,IF(K713="修改",I713*'模板使用说明&amp;基础参数'!$E$7*'模板使用说明&amp;基础参数'!$E$11,I713*'模板使用说明&amp;基础参数'!$E$7*'模板使用说明&amp;基础参数'!$E$10)))))</f>
        <v>1.06666666666667</v>
      </c>
      <c r="M713" s="95"/>
      <c r="N713" s="99"/>
      <c r="O713" s="100"/>
    </row>
    <row r="714" s="70" customFormat="1" ht="25" customHeight="1" spans="1:15">
      <c r="A714" s="93">
        <v>709</v>
      </c>
      <c r="B714" s="94" t="s">
        <v>72</v>
      </c>
      <c r="C714" s="95" t="s">
        <v>129</v>
      </c>
      <c r="D714" s="95" t="s">
        <v>130</v>
      </c>
      <c r="E714" s="95" t="s">
        <v>130</v>
      </c>
      <c r="F714" s="95" t="s">
        <v>1518</v>
      </c>
      <c r="G714" s="95" t="s">
        <v>1519</v>
      </c>
      <c r="H714" s="93" t="s">
        <v>84</v>
      </c>
      <c r="I714" s="96">
        <f>IF(H714="ILF",IF($C$1="预估功能点",'模板使用说明&amp;基础参数'!$E$15,7),IF(H714="EIF",IF($C$1="预估功能点",'模板使用说明&amp;基础参数'!$E$16,5),IF(H714="EI",IF($C$1="预估功能点",'模板使用说明&amp;基础参数'!$E$17,'模板使用说明&amp;基础参数'!$E$24),IF(H714="EO",IF($C$1="预估功能点",'模板使用说明&amp;基础参数'!$E$18,'模板使用说明&amp;基础参数'!$E$25),IF(H714="EQ",IF($C$1="预估功能点",'模板使用说明&amp;基础参数'!$E$19,'模板使用说明&amp;基础参数'!$E$26),"")))))</f>
        <v>4</v>
      </c>
      <c r="J714" s="97" t="s">
        <v>38</v>
      </c>
      <c r="K714" s="97" t="s">
        <v>78</v>
      </c>
      <c r="L714" s="98">
        <f>IF(I714="","",IF(J714="高",IF(K714="删除",I714*'模板使用说明&amp;基础参数'!$E$5*'模板使用说明&amp;基础参数'!$E$12,IF(K714="修改",I714*'模板使用说明&amp;基础参数'!$E$5*'模板使用说明&amp;基础参数'!$E$11,I714*'模板使用说明&amp;基础参数'!$E$5*'模板使用说明&amp;基础参数'!$E$10)),IF(J714="中",IF(K714="删除",I714*'模板使用说明&amp;基础参数'!$E$6*'模板使用说明&amp;基础参数'!$E$12,IF(K714="修改",I714*'模板使用说明&amp;基础参数'!$E$6*'模板使用说明&amp;基础参数'!$E$11,I714*'模板使用说明&amp;基础参数'!$E$6*'模板使用说明&amp;基础参数'!$E$10)),IF(K714="删除",I714*'模板使用说明&amp;基础参数'!$E$7*'模板使用说明&amp;基础参数'!$E$12,IF(K714="修改",I714*'模板使用说明&amp;基础参数'!$E$7*'模板使用说明&amp;基础参数'!$E$11,I714*'模板使用说明&amp;基础参数'!$E$7*'模板使用说明&amp;基础参数'!$E$10)))))</f>
        <v>1.06666666666667</v>
      </c>
      <c r="M714" s="95"/>
      <c r="N714" s="99"/>
      <c r="O714" s="100"/>
    </row>
    <row r="715" s="70" customFormat="1" ht="25" customHeight="1" spans="1:15">
      <c r="A715" s="93">
        <v>710</v>
      </c>
      <c r="B715" s="94" t="s">
        <v>72</v>
      </c>
      <c r="C715" s="95" t="s">
        <v>129</v>
      </c>
      <c r="D715" s="95" t="s">
        <v>130</v>
      </c>
      <c r="E715" s="95" t="s">
        <v>130</v>
      </c>
      <c r="F715" s="95" t="s">
        <v>1520</v>
      </c>
      <c r="G715" s="95" t="s">
        <v>1521</v>
      </c>
      <c r="H715" s="93" t="s">
        <v>84</v>
      </c>
      <c r="I715" s="96">
        <f>IF(H715="ILF",IF($C$1="预估功能点",'模板使用说明&amp;基础参数'!$E$15,7),IF(H715="EIF",IF($C$1="预估功能点",'模板使用说明&amp;基础参数'!$E$16,5),IF(H715="EI",IF($C$1="预估功能点",'模板使用说明&amp;基础参数'!$E$17,'模板使用说明&amp;基础参数'!$E$24),IF(H715="EO",IF($C$1="预估功能点",'模板使用说明&amp;基础参数'!$E$18,'模板使用说明&amp;基础参数'!$E$25),IF(H715="EQ",IF($C$1="预估功能点",'模板使用说明&amp;基础参数'!$E$19,'模板使用说明&amp;基础参数'!$E$26),"")))))</f>
        <v>4</v>
      </c>
      <c r="J715" s="97" t="s">
        <v>38</v>
      </c>
      <c r="K715" s="97" t="s">
        <v>78</v>
      </c>
      <c r="L715" s="98">
        <f>IF(I715="","",IF(J715="高",IF(K715="删除",I715*'模板使用说明&amp;基础参数'!$E$5*'模板使用说明&amp;基础参数'!$E$12,IF(K715="修改",I715*'模板使用说明&amp;基础参数'!$E$5*'模板使用说明&amp;基础参数'!$E$11,I715*'模板使用说明&amp;基础参数'!$E$5*'模板使用说明&amp;基础参数'!$E$10)),IF(J715="中",IF(K715="删除",I715*'模板使用说明&amp;基础参数'!$E$6*'模板使用说明&amp;基础参数'!$E$12,IF(K715="修改",I715*'模板使用说明&amp;基础参数'!$E$6*'模板使用说明&amp;基础参数'!$E$11,I715*'模板使用说明&amp;基础参数'!$E$6*'模板使用说明&amp;基础参数'!$E$10)),IF(K715="删除",I715*'模板使用说明&amp;基础参数'!$E$7*'模板使用说明&amp;基础参数'!$E$12,IF(K715="修改",I715*'模板使用说明&amp;基础参数'!$E$7*'模板使用说明&amp;基础参数'!$E$11,I715*'模板使用说明&amp;基础参数'!$E$7*'模板使用说明&amp;基础参数'!$E$10)))))</f>
        <v>1.06666666666667</v>
      </c>
      <c r="M715" s="95"/>
      <c r="N715" s="99"/>
      <c r="O715" s="100"/>
    </row>
    <row r="716" s="70" customFormat="1" ht="25" customHeight="1" spans="1:15">
      <c r="A716" s="93">
        <v>711</v>
      </c>
      <c r="B716" s="94" t="s">
        <v>72</v>
      </c>
      <c r="C716" s="95" t="s">
        <v>129</v>
      </c>
      <c r="D716" s="95" t="s">
        <v>130</v>
      </c>
      <c r="E716" s="95" t="s">
        <v>130</v>
      </c>
      <c r="F716" s="95" t="s">
        <v>1522</v>
      </c>
      <c r="G716" s="95" t="s">
        <v>1523</v>
      </c>
      <c r="H716" s="93" t="s">
        <v>84</v>
      </c>
      <c r="I716" s="96">
        <f>IF(H716="ILF",IF($C$1="预估功能点",'模板使用说明&amp;基础参数'!$E$15,7),IF(H716="EIF",IF($C$1="预估功能点",'模板使用说明&amp;基础参数'!$E$16,5),IF(H716="EI",IF($C$1="预估功能点",'模板使用说明&amp;基础参数'!$E$17,'模板使用说明&amp;基础参数'!$E$24),IF(H716="EO",IF($C$1="预估功能点",'模板使用说明&amp;基础参数'!$E$18,'模板使用说明&amp;基础参数'!$E$25),IF(H716="EQ",IF($C$1="预估功能点",'模板使用说明&amp;基础参数'!$E$19,'模板使用说明&amp;基础参数'!$E$26),"")))))</f>
        <v>4</v>
      </c>
      <c r="J716" s="97" t="s">
        <v>38</v>
      </c>
      <c r="K716" s="97" t="s">
        <v>78</v>
      </c>
      <c r="L716" s="98">
        <f>IF(I716="","",IF(J716="高",IF(K716="删除",I716*'模板使用说明&amp;基础参数'!$E$5*'模板使用说明&amp;基础参数'!$E$12,IF(K716="修改",I716*'模板使用说明&amp;基础参数'!$E$5*'模板使用说明&amp;基础参数'!$E$11,I716*'模板使用说明&amp;基础参数'!$E$5*'模板使用说明&amp;基础参数'!$E$10)),IF(J716="中",IF(K716="删除",I716*'模板使用说明&amp;基础参数'!$E$6*'模板使用说明&amp;基础参数'!$E$12,IF(K716="修改",I716*'模板使用说明&amp;基础参数'!$E$6*'模板使用说明&amp;基础参数'!$E$11,I716*'模板使用说明&amp;基础参数'!$E$6*'模板使用说明&amp;基础参数'!$E$10)),IF(K716="删除",I716*'模板使用说明&amp;基础参数'!$E$7*'模板使用说明&amp;基础参数'!$E$12,IF(K716="修改",I716*'模板使用说明&amp;基础参数'!$E$7*'模板使用说明&amp;基础参数'!$E$11,I716*'模板使用说明&amp;基础参数'!$E$7*'模板使用说明&amp;基础参数'!$E$10)))))</f>
        <v>1.06666666666667</v>
      </c>
      <c r="M716" s="95"/>
      <c r="N716" s="99"/>
      <c r="O716" s="100"/>
    </row>
    <row r="717" s="70" customFormat="1" ht="25" customHeight="1" spans="1:15">
      <c r="A717" s="93">
        <v>712</v>
      </c>
      <c r="B717" s="94" t="s">
        <v>72</v>
      </c>
      <c r="C717" s="95" t="s">
        <v>144</v>
      </c>
      <c r="D717" s="95" t="s">
        <v>145</v>
      </c>
      <c r="E717" s="95" t="s">
        <v>145</v>
      </c>
      <c r="F717" s="95" t="s">
        <v>1524</v>
      </c>
      <c r="G717" s="95" t="s">
        <v>1525</v>
      </c>
      <c r="H717" s="93" t="s">
        <v>77</v>
      </c>
      <c r="I717" s="96">
        <f>IF(H717="ILF",IF($C$1="预估功能点",'模板使用说明&amp;基础参数'!$E$15,7),IF(H717="EIF",IF($C$1="预估功能点",'模板使用说明&amp;基础参数'!$E$16,5),IF(H717="EI",IF($C$1="预估功能点",'模板使用说明&amp;基础参数'!$E$17,'模板使用说明&amp;基础参数'!$E$24),IF(H717="EO",IF($C$1="预估功能点",'模板使用说明&amp;基础参数'!$E$18,'模板使用说明&amp;基础参数'!$E$25),IF(H717="EQ",IF($C$1="预估功能点",'模板使用说明&amp;基础参数'!$E$19,'模板使用说明&amp;基础参数'!$E$26),"")))))</f>
        <v>7</v>
      </c>
      <c r="J717" s="97" t="s">
        <v>38</v>
      </c>
      <c r="K717" s="97" t="s">
        <v>78</v>
      </c>
      <c r="L717" s="98">
        <f>IF(I717="","",IF(J717="高",IF(K717="删除",I717*'模板使用说明&amp;基础参数'!$E$5*'模板使用说明&amp;基础参数'!$E$12,IF(K717="修改",I717*'模板使用说明&amp;基础参数'!$E$5*'模板使用说明&amp;基础参数'!$E$11,I717*'模板使用说明&amp;基础参数'!$E$5*'模板使用说明&amp;基础参数'!$E$10)),IF(J717="中",IF(K717="删除",I717*'模板使用说明&amp;基础参数'!$E$6*'模板使用说明&amp;基础参数'!$E$12,IF(K717="修改",I717*'模板使用说明&amp;基础参数'!$E$6*'模板使用说明&amp;基础参数'!$E$11,I717*'模板使用说明&amp;基础参数'!$E$6*'模板使用说明&amp;基础参数'!$E$10)),IF(K717="删除",I717*'模板使用说明&amp;基础参数'!$E$7*'模板使用说明&amp;基础参数'!$E$12,IF(K717="修改",I717*'模板使用说明&amp;基础参数'!$E$7*'模板使用说明&amp;基础参数'!$E$11,I717*'模板使用说明&amp;基础参数'!$E$7*'模板使用说明&amp;基础参数'!$E$10)))))</f>
        <v>1.86666666666666</v>
      </c>
      <c r="M717" s="95"/>
      <c r="N717" s="99"/>
      <c r="O717" s="100"/>
    </row>
    <row r="718" s="70" customFormat="1" ht="25" customHeight="1" spans="1:15">
      <c r="A718" s="93">
        <v>713</v>
      </c>
      <c r="B718" s="94" t="s">
        <v>72</v>
      </c>
      <c r="C718" s="95" t="s">
        <v>144</v>
      </c>
      <c r="D718" s="95" t="s">
        <v>145</v>
      </c>
      <c r="E718" s="95" t="s">
        <v>145</v>
      </c>
      <c r="F718" s="95" t="s">
        <v>1526</v>
      </c>
      <c r="G718" s="95" t="s">
        <v>1527</v>
      </c>
      <c r="H718" s="93" t="s">
        <v>81</v>
      </c>
      <c r="I718" s="96">
        <f>IF(H718="ILF",IF($C$1="预估功能点",'模板使用说明&amp;基础参数'!$E$15,7),IF(H718="EIF",IF($C$1="预估功能点",'模板使用说明&amp;基础参数'!$E$16,5),IF(H718="EI",IF($C$1="预估功能点",'模板使用说明&amp;基础参数'!$E$17,'模板使用说明&amp;基础参数'!$E$24),IF(H718="EO",IF($C$1="预估功能点",'模板使用说明&amp;基础参数'!$E$18,'模板使用说明&amp;基础参数'!$E$25),IF(H718="EQ",IF($C$1="预估功能点",'模板使用说明&amp;基础参数'!$E$19,'模板使用说明&amp;基础参数'!$E$26),"")))))</f>
        <v>4</v>
      </c>
      <c r="J718" s="97" t="s">
        <v>38</v>
      </c>
      <c r="K718" s="97" t="s">
        <v>78</v>
      </c>
      <c r="L718" s="98">
        <f>IF(I718="","",IF(J718="高",IF(K718="删除",I718*'模板使用说明&amp;基础参数'!$E$5*'模板使用说明&amp;基础参数'!$E$12,IF(K718="修改",I718*'模板使用说明&amp;基础参数'!$E$5*'模板使用说明&amp;基础参数'!$E$11,I718*'模板使用说明&amp;基础参数'!$E$5*'模板使用说明&amp;基础参数'!$E$10)),IF(J718="中",IF(K718="删除",I718*'模板使用说明&amp;基础参数'!$E$6*'模板使用说明&amp;基础参数'!$E$12,IF(K718="修改",I718*'模板使用说明&amp;基础参数'!$E$6*'模板使用说明&amp;基础参数'!$E$11,I718*'模板使用说明&amp;基础参数'!$E$6*'模板使用说明&amp;基础参数'!$E$10)),IF(K718="删除",I718*'模板使用说明&amp;基础参数'!$E$7*'模板使用说明&amp;基础参数'!$E$12,IF(K718="修改",I718*'模板使用说明&amp;基础参数'!$E$7*'模板使用说明&amp;基础参数'!$E$11,I718*'模板使用说明&amp;基础参数'!$E$7*'模板使用说明&amp;基础参数'!$E$10)))))</f>
        <v>1.06666666666667</v>
      </c>
      <c r="M718" s="95"/>
      <c r="N718" s="99"/>
      <c r="O718" s="100"/>
    </row>
    <row r="719" s="70" customFormat="1" ht="25" customHeight="1" spans="1:15">
      <c r="A719" s="93">
        <v>714</v>
      </c>
      <c r="B719" s="94" t="s">
        <v>72</v>
      </c>
      <c r="C719" s="95" t="s">
        <v>144</v>
      </c>
      <c r="D719" s="95" t="s">
        <v>145</v>
      </c>
      <c r="E719" s="95" t="s">
        <v>145</v>
      </c>
      <c r="F719" s="95" t="s">
        <v>1528</v>
      </c>
      <c r="G719" s="95" t="s">
        <v>1529</v>
      </c>
      <c r="H719" s="93" t="s">
        <v>84</v>
      </c>
      <c r="I719" s="96">
        <f>IF(H719="ILF",IF($C$1="预估功能点",'模板使用说明&amp;基础参数'!$E$15,7),IF(H719="EIF",IF($C$1="预估功能点",'模板使用说明&amp;基础参数'!$E$16,5),IF(H719="EI",IF($C$1="预估功能点",'模板使用说明&amp;基础参数'!$E$17,'模板使用说明&amp;基础参数'!$E$24),IF(H719="EO",IF($C$1="预估功能点",'模板使用说明&amp;基础参数'!$E$18,'模板使用说明&amp;基础参数'!$E$25),IF(H719="EQ",IF($C$1="预估功能点",'模板使用说明&amp;基础参数'!$E$19,'模板使用说明&amp;基础参数'!$E$26),"")))))</f>
        <v>4</v>
      </c>
      <c r="J719" s="97" t="s">
        <v>38</v>
      </c>
      <c r="K719" s="97" t="s">
        <v>78</v>
      </c>
      <c r="L719" s="98">
        <f>IF(I719="","",IF(J719="高",IF(K719="删除",I719*'模板使用说明&amp;基础参数'!$E$5*'模板使用说明&amp;基础参数'!$E$12,IF(K719="修改",I719*'模板使用说明&amp;基础参数'!$E$5*'模板使用说明&amp;基础参数'!$E$11,I719*'模板使用说明&amp;基础参数'!$E$5*'模板使用说明&amp;基础参数'!$E$10)),IF(J719="中",IF(K719="删除",I719*'模板使用说明&amp;基础参数'!$E$6*'模板使用说明&amp;基础参数'!$E$12,IF(K719="修改",I719*'模板使用说明&amp;基础参数'!$E$6*'模板使用说明&amp;基础参数'!$E$11,I719*'模板使用说明&amp;基础参数'!$E$6*'模板使用说明&amp;基础参数'!$E$10)),IF(K719="删除",I719*'模板使用说明&amp;基础参数'!$E$7*'模板使用说明&amp;基础参数'!$E$12,IF(K719="修改",I719*'模板使用说明&amp;基础参数'!$E$7*'模板使用说明&amp;基础参数'!$E$11,I719*'模板使用说明&amp;基础参数'!$E$7*'模板使用说明&amp;基础参数'!$E$10)))))</f>
        <v>1.06666666666667</v>
      </c>
      <c r="M719" s="95"/>
      <c r="N719" s="99"/>
      <c r="O719" s="100"/>
    </row>
    <row r="720" s="70" customFormat="1" ht="25" customHeight="1" spans="1:15">
      <c r="A720" s="93">
        <v>715</v>
      </c>
      <c r="B720" s="94" t="s">
        <v>72</v>
      </c>
      <c r="C720" s="95" t="s">
        <v>144</v>
      </c>
      <c r="D720" s="95" t="s">
        <v>145</v>
      </c>
      <c r="E720" s="95" t="s">
        <v>145</v>
      </c>
      <c r="F720" s="95" t="s">
        <v>1530</v>
      </c>
      <c r="G720" s="95" t="s">
        <v>1531</v>
      </c>
      <c r="H720" s="93" t="s">
        <v>84</v>
      </c>
      <c r="I720" s="96">
        <f>IF(H720="ILF",IF($C$1="预估功能点",'模板使用说明&amp;基础参数'!$E$15,7),IF(H720="EIF",IF($C$1="预估功能点",'模板使用说明&amp;基础参数'!$E$16,5),IF(H720="EI",IF($C$1="预估功能点",'模板使用说明&amp;基础参数'!$E$17,'模板使用说明&amp;基础参数'!$E$24),IF(H720="EO",IF($C$1="预估功能点",'模板使用说明&amp;基础参数'!$E$18,'模板使用说明&amp;基础参数'!$E$25),IF(H720="EQ",IF($C$1="预估功能点",'模板使用说明&amp;基础参数'!$E$19,'模板使用说明&amp;基础参数'!$E$26),"")))))</f>
        <v>4</v>
      </c>
      <c r="J720" s="97" t="s">
        <v>38</v>
      </c>
      <c r="K720" s="97" t="s">
        <v>78</v>
      </c>
      <c r="L720" s="98">
        <f>IF(I720="","",IF(J720="高",IF(K720="删除",I720*'模板使用说明&amp;基础参数'!$E$5*'模板使用说明&amp;基础参数'!$E$12,IF(K720="修改",I720*'模板使用说明&amp;基础参数'!$E$5*'模板使用说明&amp;基础参数'!$E$11,I720*'模板使用说明&amp;基础参数'!$E$5*'模板使用说明&amp;基础参数'!$E$10)),IF(J720="中",IF(K720="删除",I720*'模板使用说明&amp;基础参数'!$E$6*'模板使用说明&amp;基础参数'!$E$12,IF(K720="修改",I720*'模板使用说明&amp;基础参数'!$E$6*'模板使用说明&amp;基础参数'!$E$11,I720*'模板使用说明&amp;基础参数'!$E$6*'模板使用说明&amp;基础参数'!$E$10)),IF(K720="删除",I720*'模板使用说明&amp;基础参数'!$E$7*'模板使用说明&amp;基础参数'!$E$12,IF(K720="修改",I720*'模板使用说明&amp;基础参数'!$E$7*'模板使用说明&amp;基础参数'!$E$11,I720*'模板使用说明&amp;基础参数'!$E$7*'模板使用说明&amp;基础参数'!$E$10)))))</f>
        <v>1.06666666666667</v>
      </c>
      <c r="M720" s="95"/>
      <c r="N720" s="99"/>
      <c r="O720" s="100"/>
    </row>
    <row r="721" s="70" customFormat="1" ht="25" customHeight="1" spans="1:15">
      <c r="A721" s="93">
        <v>716</v>
      </c>
      <c r="B721" s="94" t="s">
        <v>72</v>
      </c>
      <c r="C721" s="90" t="s">
        <v>154</v>
      </c>
      <c r="D721" s="95" t="s">
        <v>155</v>
      </c>
      <c r="E721" s="95" t="s">
        <v>155</v>
      </c>
      <c r="F721" s="90" t="s">
        <v>1532</v>
      </c>
      <c r="G721" s="95" t="s">
        <v>1533</v>
      </c>
      <c r="H721" s="93" t="s">
        <v>77</v>
      </c>
      <c r="I721" s="96">
        <f>IF(H721="ILF",IF($C$1="预估功能点",'模板使用说明&amp;基础参数'!$E$15,7),IF(H721="EIF",IF($C$1="预估功能点",'模板使用说明&amp;基础参数'!$E$16,5),IF(H721="EI",IF($C$1="预估功能点",'模板使用说明&amp;基础参数'!$E$17,'模板使用说明&amp;基础参数'!$E$24),IF(H721="EO",IF($C$1="预估功能点",'模板使用说明&amp;基础参数'!$E$18,'模板使用说明&amp;基础参数'!$E$25),IF(H721="EQ",IF($C$1="预估功能点",'模板使用说明&amp;基础参数'!$E$19,'模板使用说明&amp;基础参数'!$E$26),"")))))</f>
        <v>7</v>
      </c>
      <c r="J721" s="97" t="s">
        <v>38</v>
      </c>
      <c r="K721" s="97" t="s">
        <v>78</v>
      </c>
      <c r="L721" s="98">
        <f>IF(I721="","",IF(J721="高",IF(K721="删除",I721*'模板使用说明&amp;基础参数'!$E$5*'模板使用说明&amp;基础参数'!$E$12,IF(K721="修改",I721*'模板使用说明&amp;基础参数'!$E$5*'模板使用说明&amp;基础参数'!$E$11,I721*'模板使用说明&amp;基础参数'!$E$5*'模板使用说明&amp;基础参数'!$E$10)),IF(J721="中",IF(K721="删除",I721*'模板使用说明&amp;基础参数'!$E$6*'模板使用说明&amp;基础参数'!$E$12,IF(K721="修改",I721*'模板使用说明&amp;基础参数'!$E$6*'模板使用说明&amp;基础参数'!$E$11,I721*'模板使用说明&amp;基础参数'!$E$6*'模板使用说明&amp;基础参数'!$E$10)),IF(K721="删除",I721*'模板使用说明&amp;基础参数'!$E$7*'模板使用说明&amp;基础参数'!$E$12,IF(K721="修改",I721*'模板使用说明&amp;基础参数'!$E$7*'模板使用说明&amp;基础参数'!$E$11,I721*'模板使用说明&amp;基础参数'!$E$7*'模板使用说明&amp;基础参数'!$E$10)))))</f>
        <v>1.86666666666666</v>
      </c>
      <c r="M721" s="95"/>
      <c r="N721" s="101"/>
      <c r="O721" s="101"/>
    </row>
    <row r="722" s="70" customFormat="1" ht="25" customHeight="1" spans="1:15">
      <c r="A722" s="93">
        <v>717</v>
      </c>
      <c r="B722" s="94" t="s">
        <v>72</v>
      </c>
      <c r="C722" s="90" t="s">
        <v>154</v>
      </c>
      <c r="D722" s="95" t="s">
        <v>155</v>
      </c>
      <c r="E722" s="95" t="s">
        <v>155</v>
      </c>
      <c r="F722" s="90" t="s">
        <v>1534</v>
      </c>
      <c r="G722" s="95" t="s">
        <v>1535</v>
      </c>
      <c r="H722" s="93" t="s">
        <v>81</v>
      </c>
      <c r="I722" s="96">
        <f>IF(H722="ILF",IF($C$1="预估功能点",'模板使用说明&amp;基础参数'!$E$15,7),IF(H722="EIF",IF($C$1="预估功能点",'模板使用说明&amp;基础参数'!$E$16,5),IF(H722="EI",IF($C$1="预估功能点",'模板使用说明&amp;基础参数'!$E$17,'模板使用说明&amp;基础参数'!$E$24),IF(H722="EO",IF($C$1="预估功能点",'模板使用说明&amp;基础参数'!$E$18,'模板使用说明&amp;基础参数'!$E$25),IF(H722="EQ",IF($C$1="预估功能点",'模板使用说明&amp;基础参数'!$E$19,'模板使用说明&amp;基础参数'!$E$26),"")))))</f>
        <v>4</v>
      </c>
      <c r="J722" s="97" t="s">
        <v>38</v>
      </c>
      <c r="K722" s="97" t="s">
        <v>78</v>
      </c>
      <c r="L722" s="98">
        <f>IF(I722="","",IF(J722="高",IF(K722="删除",I722*'模板使用说明&amp;基础参数'!$E$5*'模板使用说明&amp;基础参数'!$E$12,IF(K722="修改",I722*'模板使用说明&amp;基础参数'!$E$5*'模板使用说明&amp;基础参数'!$E$11,I722*'模板使用说明&amp;基础参数'!$E$5*'模板使用说明&amp;基础参数'!$E$10)),IF(J722="中",IF(K722="删除",I722*'模板使用说明&amp;基础参数'!$E$6*'模板使用说明&amp;基础参数'!$E$12,IF(K722="修改",I722*'模板使用说明&amp;基础参数'!$E$6*'模板使用说明&amp;基础参数'!$E$11,I722*'模板使用说明&amp;基础参数'!$E$6*'模板使用说明&amp;基础参数'!$E$10)),IF(K722="删除",I722*'模板使用说明&amp;基础参数'!$E$7*'模板使用说明&amp;基础参数'!$E$12,IF(K722="修改",I722*'模板使用说明&amp;基础参数'!$E$7*'模板使用说明&amp;基础参数'!$E$11,I722*'模板使用说明&amp;基础参数'!$E$7*'模板使用说明&amp;基础参数'!$E$10)))))</f>
        <v>1.06666666666667</v>
      </c>
      <c r="M722" s="95"/>
      <c r="N722" s="101"/>
      <c r="O722" s="101"/>
    </row>
    <row r="723" s="70" customFormat="1" ht="25" customHeight="1" spans="1:15">
      <c r="A723" s="93">
        <v>718</v>
      </c>
      <c r="B723" s="94" t="s">
        <v>72</v>
      </c>
      <c r="C723" s="90" t="s">
        <v>154</v>
      </c>
      <c r="D723" s="95" t="s">
        <v>155</v>
      </c>
      <c r="E723" s="95" t="s">
        <v>155</v>
      </c>
      <c r="F723" s="90" t="s">
        <v>1536</v>
      </c>
      <c r="G723" s="95" t="s">
        <v>1537</v>
      </c>
      <c r="H723" s="93" t="s">
        <v>84</v>
      </c>
      <c r="I723" s="96">
        <f>IF(H723="ILF",IF($C$1="预估功能点",'模板使用说明&amp;基础参数'!$E$15,7),IF(H723="EIF",IF($C$1="预估功能点",'模板使用说明&amp;基础参数'!$E$16,5),IF(H723="EI",IF($C$1="预估功能点",'模板使用说明&amp;基础参数'!$E$17,'模板使用说明&amp;基础参数'!$E$24),IF(H723="EO",IF($C$1="预估功能点",'模板使用说明&amp;基础参数'!$E$18,'模板使用说明&amp;基础参数'!$E$25),IF(H723="EQ",IF($C$1="预估功能点",'模板使用说明&amp;基础参数'!$E$19,'模板使用说明&amp;基础参数'!$E$26),"")))))</f>
        <v>4</v>
      </c>
      <c r="J723" s="97" t="s">
        <v>38</v>
      </c>
      <c r="K723" s="97" t="s">
        <v>78</v>
      </c>
      <c r="L723" s="98">
        <f>IF(I723="","",IF(J723="高",IF(K723="删除",I723*'模板使用说明&amp;基础参数'!$E$5*'模板使用说明&amp;基础参数'!$E$12,IF(K723="修改",I723*'模板使用说明&amp;基础参数'!$E$5*'模板使用说明&amp;基础参数'!$E$11,I723*'模板使用说明&amp;基础参数'!$E$5*'模板使用说明&amp;基础参数'!$E$10)),IF(J723="中",IF(K723="删除",I723*'模板使用说明&amp;基础参数'!$E$6*'模板使用说明&amp;基础参数'!$E$12,IF(K723="修改",I723*'模板使用说明&amp;基础参数'!$E$6*'模板使用说明&amp;基础参数'!$E$11,I723*'模板使用说明&amp;基础参数'!$E$6*'模板使用说明&amp;基础参数'!$E$10)),IF(K723="删除",I723*'模板使用说明&amp;基础参数'!$E$7*'模板使用说明&amp;基础参数'!$E$12,IF(K723="修改",I723*'模板使用说明&amp;基础参数'!$E$7*'模板使用说明&amp;基础参数'!$E$11,I723*'模板使用说明&amp;基础参数'!$E$7*'模板使用说明&amp;基础参数'!$E$10)))))</f>
        <v>1.06666666666667</v>
      </c>
      <c r="M723" s="95"/>
      <c r="N723" s="101"/>
      <c r="O723" s="101"/>
    </row>
    <row r="724" s="70" customFormat="1" ht="25" customHeight="1" spans="1:15">
      <c r="A724" s="93">
        <v>719</v>
      </c>
      <c r="B724" s="94" t="s">
        <v>72</v>
      </c>
      <c r="C724" s="90" t="s">
        <v>154</v>
      </c>
      <c r="D724" s="95" t="s">
        <v>155</v>
      </c>
      <c r="E724" s="95" t="s">
        <v>155</v>
      </c>
      <c r="F724" s="90" t="s">
        <v>1538</v>
      </c>
      <c r="G724" s="95" t="s">
        <v>1539</v>
      </c>
      <c r="H724" s="93" t="s">
        <v>84</v>
      </c>
      <c r="I724" s="96">
        <f>IF(H724="ILF",IF($C$1="预估功能点",'模板使用说明&amp;基础参数'!$E$15,7),IF(H724="EIF",IF($C$1="预估功能点",'模板使用说明&amp;基础参数'!$E$16,5),IF(H724="EI",IF($C$1="预估功能点",'模板使用说明&amp;基础参数'!$E$17,'模板使用说明&amp;基础参数'!$E$24),IF(H724="EO",IF($C$1="预估功能点",'模板使用说明&amp;基础参数'!$E$18,'模板使用说明&amp;基础参数'!$E$25),IF(H724="EQ",IF($C$1="预估功能点",'模板使用说明&amp;基础参数'!$E$19,'模板使用说明&amp;基础参数'!$E$26),"")))))</f>
        <v>4</v>
      </c>
      <c r="J724" s="97" t="s">
        <v>38</v>
      </c>
      <c r="K724" s="97" t="s">
        <v>78</v>
      </c>
      <c r="L724" s="98">
        <f>IF(I724="","",IF(J724="高",IF(K724="删除",I724*'模板使用说明&amp;基础参数'!$E$5*'模板使用说明&amp;基础参数'!$E$12,IF(K724="修改",I724*'模板使用说明&amp;基础参数'!$E$5*'模板使用说明&amp;基础参数'!$E$11,I724*'模板使用说明&amp;基础参数'!$E$5*'模板使用说明&amp;基础参数'!$E$10)),IF(J724="中",IF(K724="删除",I724*'模板使用说明&amp;基础参数'!$E$6*'模板使用说明&amp;基础参数'!$E$12,IF(K724="修改",I724*'模板使用说明&amp;基础参数'!$E$6*'模板使用说明&amp;基础参数'!$E$11,I724*'模板使用说明&amp;基础参数'!$E$6*'模板使用说明&amp;基础参数'!$E$10)),IF(K724="删除",I724*'模板使用说明&amp;基础参数'!$E$7*'模板使用说明&amp;基础参数'!$E$12,IF(K724="修改",I724*'模板使用说明&amp;基础参数'!$E$7*'模板使用说明&amp;基础参数'!$E$11,I724*'模板使用说明&amp;基础参数'!$E$7*'模板使用说明&amp;基础参数'!$E$10)))))</f>
        <v>1.06666666666667</v>
      </c>
      <c r="M724" s="95"/>
      <c r="N724" s="101"/>
      <c r="O724" s="101"/>
    </row>
    <row r="725" s="70" customFormat="1" ht="25" customHeight="1" spans="1:15">
      <c r="A725" s="93">
        <v>720</v>
      </c>
      <c r="B725" s="94" t="s">
        <v>72</v>
      </c>
      <c r="C725" s="90" t="s">
        <v>154</v>
      </c>
      <c r="D725" s="95" t="s">
        <v>155</v>
      </c>
      <c r="E725" s="95" t="s">
        <v>155</v>
      </c>
      <c r="F725" s="90" t="s">
        <v>1540</v>
      </c>
      <c r="G725" s="95" t="s">
        <v>1541</v>
      </c>
      <c r="H725" s="93" t="s">
        <v>84</v>
      </c>
      <c r="I725" s="96">
        <f>IF(H725="ILF",IF($C$1="预估功能点",'模板使用说明&amp;基础参数'!$E$15,7),IF(H725="EIF",IF($C$1="预估功能点",'模板使用说明&amp;基础参数'!$E$16,5),IF(H725="EI",IF($C$1="预估功能点",'模板使用说明&amp;基础参数'!$E$17,'模板使用说明&amp;基础参数'!$E$24),IF(H725="EO",IF($C$1="预估功能点",'模板使用说明&amp;基础参数'!$E$18,'模板使用说明&amp;基础参数'!$E$25),IF(H725="EQ",IF($C$1="预估功能点",'模板使用说明&amp;基础参数'!$E$19,'模板使用说明&amp;基础参数'!$E$26),"")))))</f>
        <v>4</v>
      </c>
      <c r="J725" s="97" t="s">
        <v>38</v>
      </c>
      <c r="K725" s="97" t="s">
        <v>78</v>
      </c>
      <c r="L725" s="98">
        <f>IF(I725="","",IF(J725="高",IF(K725="删除",I725*'模板使用说明&amp;基础参数'!$E$5*'模板使用说明&amp;基础参数'!$E$12,IF(K725="修改",I725*'模板使用说明&amp;基础参数'!$E$5*'模板使用说明&amp;基础参数'!$E$11,I725*'模板使用说明&amp;基础参数'!$E$5*'模板使用说明&amp;基础参数'!$E$10)),IF(J725="中",IF(K725="删除",I725*'模板使用说明&amp;基础参数'!$E$6*'模板使用说明&amp;基础参数'!$E$12,IF(K725="修改",I725*'模板使用说明&amp;基础参数'!$E$6*'模板使用说明&amp;基础参数'!$E$11,I725*'模板使用说明&amp;基础参数'!$E$6*'模板使用说明&amp;基础参数'!$E$10)),IF(K725="删除",I725*'模板使用说明&amp;基础参数'!$E$7*'模板使用说明&amp;基础参数'!$E$12,IF(K725="修改",I725*'模板使用说明&amp;基础参数'!$E$7*'模板使用说明&amp;基础参数'!$E$11,I725*'模板使用说明&amp;基础参数'!$E$7*'模板使用说明&amp;基础参数'!$E$10)))))</f>
        <v>1.06666666666667</v>
      </c>
      <c r="M725" s="95"/>
      <c r="N725" s="101"/>
      <c r="O725" s="101"/>
    </row>
    <row r="726" s="70" customFormat="1" ht="25" customHeight="1" spans="1:15">
      <c r="A726" s="93">
        <v>721</v>
      </c>
      <c r="B726" s="94" t="s">
        <v>72</v>
      </c>
      <c r="C726" s="90" t="s">
        <v>73</v>
      </c>
      <c r="D726" s="95" t="s">
        <v>74</v>
      </c>
      <c r="E726" s="95" t="s">
        <v>74</v>
      </c>
      <c r="F726" s="90" t="s">
        <v>1542</v>
      </c>
      <c r="G726" s="95" t="s">
        <v>1543</v>
      </c>
      <c r="H726" s="93" t="s">
        <v>77</v>
      </c>
      <c r="I726" s="96">
        <f>IF(H726="ILF",IF($C$1="预估功能点",'模板使用说明&amp;基础参数'!$E$15,7),IF(H726="EIF",IF($C$1="预估功能点",'模板使用说明&amp;基础参数'!$E$16,5),IF(H726="EI",IF($C$1="预估功能点",'模板使用说明&amp;基础参数'!$E$17,'模板使用说明&amp;基础参数'!$E$24),IF(H726="EO",IF($C$1="预估功能点",'模板使用说明&amp;基础参数'!$E$18,'模板使用说明&amp;基础参数'!$E$25),IF(H726="EQ",IF($C$1="预估功能点",'模板使用说明&amp;基础参数'!$E$19,'模板使用说明&amp;基础参数'!$E$26),"")))))</f>
        <v>7</v>
      </c>
      <c r="J726" s="97" t="s">
        <v>38</v>
      </c>
      <c r="K726" s="97" t="s">
        <v>78</v>
      </c>
      <c r="L726" s="98">
        <f>IF(I726="","",IF(J726="高",IF(K726="删除",I726*'模板使用说明&amp;基础参数'!$E$5*'模板使用说明&amp;基础参数'!$E$12,IF(K726="修改",I726*'模板使用说明&amp;基础参数'!$E$5*'模板使用说明&amp;基础参数'!$E$11,I726*'模板使用说明&amp;基础参数'!$E$5*'模板使用说明&amp;基础参数'!$E$10)),IF(J726="中",IF(K726="删除",I726*'模板使用说明&amp;基础参数'!$E$6*'模板使用说明&amp;基础参数'!$E$12,IF(K726="修改",I726*'模板使用说明&amp;基础参数'!$E$6*'模板使用说明&amp;基础参数'!$E$11,I726*'模板使用说明&amp;基础参数'!$E$6*'模板使用说明&amp;基础参数'!$E$10)),IF(K726="删除",I726*'模板使用说明&amp;基础参数'!$E$7*'模板使用说明&amp;基础参数'!$E$12,IF(K726="修改",I726*'模板使用说明&amp;基础参数'!$E$7*'模板使用说明&amp;基础参数'!$E$11,I726*'模板使用说明&amp;基础参数'!$E$7*'模板使用说明&amp;基础参数'!$E$10)))))</f>
        <v>1.86666666666666</v>
      </c>
      <c r="M726" s="95"/>
      <c r="N726" s="101"/>
      <c r="O726" s="101"/>
    </row>
    <row r="727" s="70" customFormat="1" ht="25" customHeight="1" spans="1:15">
      <c r="A727" s="93">
        <v>722</v>
      </c>
      <c r="B727" s="94" t="s">
        <v>72</v>
      </c>
      <c r="C727" s="90" t="s">
        <v>73</v>
      </c>
      <c r="D727" s="95" t="s">
        <v>74</v>
      </c>
      <c r="E727" s="95" t="s">
        <v>74</v>
      </c>
      <c r="F727" s="90" t="s">
        <v>1544</v>
      </c>
      <c r="G727" s="95" t="s">
        <v>1545</v>
      </c>
      <c r="H727" s="93" t="s">
        <v>81</v>
      </c>
      <c r="I727" s="96">
        <f>IF(H727="ILF",IF($C$1="预估功能点",'模板使用说明&amp;基础参数'!$E$15,7),IF(H727="EIF",IF($C$1="预估功能点",'模板使用说明&amp;基础参数'!$E$16,5),IF(H727="EI",IF($C$1="预估功能点",'模板使用说明&amp;基础参数'!$E$17,'模板使用说明&amp;基础参数'!$E$24),IF(H727="EO",IF($C$1="预估功能点",'模板使用说明&amp;基础参数'!$E$18,'模板使用说明&amp;基础参数'!$E$25),IF(H727="EQ",IF($C$1="预估功能点",'模板使用说明&amp;基础参数'!$E$19,'模板使用说明&amp;基础参数'!$E$26),"")))))</f>
        <v>4</v>
      </c>
      <c r="J727" s="97" t="s">
        <v>38</v>
      </c>
      <c r="K727" s="97" t="s">
        <v>78</v>
      </c>
      <c r="L727" s="98">
        <f>IF(I727="","",IF(J727="高",IF(K727="删除",I727*'模板使用说明&amp;基础参数'!$E$5*'模板使用说明&amp;基础参数'!$E$12,IF(K727="修改",I727*'模板使用说明&amp;基础参数'!$E$5*'模板使用说明&amp;基础参数'!$E$11,I727*'模板使用说明&amp;基础参数'!$E$5*'模板使用说明&amp;基础参数'!$E$10)),IF(J727="中",IF(K727="删除",I727*'模板使用说明&amp;基础参数'!$E$6*'模板使用说明&amp;基础参数'!$E$12,IF(K727="修改",I727*'模板使用说明&amp;基础参数'!$E$6*'模板使用说明&amp;基础参数'!$E$11,I727*'模板使用说明&amp;基础参数'!$E$6*'模板使用说明&amp;基础参数'!$E$10)),IF(K727="删除",I727*'模板使用说明&amp;基础参数'!$E$7*'模板使用说明&amp;基础参数'!$E$12,IF(K727="修改",I727*'模板使用说明&amp;基础参数'!$E$7*'模板使用说明&amp;基础参数'!$E$11,I727*'模板使用说明&amp;基础参数'!$E$7*'模板使用说明&amp;基础参数'!$E$10)))))</f>
        <v>1.06666666666667</v>
      </c>
      <c r="M727" s="95"/>
      <c r="N727" s="101"/>
      <c r="O727" s="101"/>
    </row>
    <row r="728" s="70" customFormat="1" ht="25" customHeight="1" spans="1:15">
      <c r="A728" s="93">
        <v>723</v>
      </c>
      <c r="B728" s="94" t="s">
        <v>72</v>
      </c>
      <c r="C728" s="90" t="s">
        <v>73</v>
      </c>
      <c r="D728" s="95" t="s">
        <v>74</v>
      </c>
      <c r="E728" s="95" t="s">
        <v>74</v>
      </c>
      <c r="F728" s="90" t="s">
        <v>1546</v>
      </c>
      <c r="G728" s="95" t="s">
        <v>1547</v>
      </c>
      <c r="H728" s="93" t="s">
        <v>84</v>
      </c>
      <c r="I728" s="96">
        <f>IF(H728="ILF",IF($C$1="预估功能点",'模板使用说明&amp;基础参数'!$E$15,7),IF(H728="EIF",IF($C$1="预估功能点",'模板使用说明&amp;基础参数'!$E$16,5),IF(H728="EI",IF($C$1="预估功能点",'模板使用说明&amp;基础参数'!$E$17,'模板使用说明&amp;基础参数'!$E$24),IF(H728="EO",IF($C$1="预估功能点",'模板使用说明&amp;基础参数'!$E$18,'模板使用说明&amp;基础参数'!$E$25),IF(H728="EQ",IF($C$1="预估功能点",'模板使用说明&amp;基础参数'!$E$19,'模板使用说明&amp;基础参数'!$E$26),"")))))</f>
        <v>4</v>
      </c>
      <c r="J728" s="97" t="s">
        <v>38</v>
      </c>
      <c r="K728" s="97" t="s">
        <v>78</v>
      </c>
      <c r="L728" s="98">
        <f>IF(I728="","",IF(J728="高",IF(K728="删除",I728*'模板使用说明&amp;基础参数'!$E$5*'模板使用说明&amp;基础参数'!$E$12,IF(K728="修改",I728*'模板使用说明&amp;基础参数'!$E$5*'模板使用说明&amp;基础参数'!$E$11,I728*'模板使用说明&amp;基础参数'!$E$5*'模板使用说明&amp;基础参数'!$E$10)),IF(J728="中",IF(K728="删除",I728*'模板使用说明&amp;基础参数'!$E$6*'模板使用说明&amp;基础参数'!$E$12,IF(K728="修改",I728*'模板使用说明&amp;基础参数'!$E$6*'模板使用说明&amp;基础参数'!$E$11,I728*'模板使用说明&amp;基础参数'!$E$6*'模板使用说明&amp;基础参数'!$E$10)),IF(K728="删除",I728*'模板使用说明&amp;基础参数'!$E$7*'模板使用说明&amp;基础参数'!$E$12,IF(K728="修改",I728*'模板使用说明&amp;基础参数'!$E$7*'模板使用说明&amp;基础参数'!$E$11,I728*'模板使用说明&amp;基础参数'!$E$7*'模板使用说明&amp;基础参数'!$E$10)))))</f>
        <v>1.06666666666667</v>
      </c>
      <c r="M728" s="95"/>
      <c r="N728" s="101"/>
      <c r="O728" s="101"/>
    </row>
    <row r="729" s="70" customFormat="1" ht="25" customHeight="1" spans="1:15">
      <c r="A729" s="93">
        <v>724</v>
      </c>
      <c r="B729" s="94" t="s">
        <v>72</v>
      </c>
      <c r="C729" s="90" t="s">
        <v>73</v>
      </c>
      <c r="D729" s="95" t="s">
        <v>74</v>
      </c>
      <c r="E729" s="95" t="s">
        <v>74</v>
      </c>
      <c r="F729" s="90" t="s">
        <v>1548</v>
      </c>
      <c r="G729" s="95" t="s">
        <v>1549</v>
      </c>
      <c r="H729" s="93" t="s">
        <v>84</v>
      </c>
      <c r="I729" s="96">
        <f>IF(H729="ILF",IF($C$1="预估功能点",'模板使用说明&amp;基础参数'!$E$15,7),IF(H729="EIF",IF($C$1="预估功能点",'模板使用说明&amp;基础参数'!$E$16,5),IF(H729="EI",IF($C$1="预估功能点",'模板使用说明&amp;基础参数'!$E$17,'模板使用说明&amp;基础参数'!$E$24),IF(H729="EO",IF($C$1="预估功能点",'模板使用说明&amp;基础参数'!$E$18,'模板使用说明&amp;基础参数'!$E$25),IF(H729="EQ",IF($C$1="预估功能点",'模板使用说明&amp;基础参数'!$E$19,'模板使用说明&amp;基础参数'!$E$26),"")))))</f>
        <v>4</v>
      </c>
      <c r="J729" s="97" t="s">
        <v>38</v>
      </c>
      <c r="K729" s="97" t="s">
        <v>78</v>
      </c>
      <c r="L729" s="98">
        <f>IF(I729="","",IF(J729="高",IF(K729="删除",I729*'模板使用说明&amp;基础参数'!$E$5*'模板使用说明&amp;基础参数'!$E$12,IF(K729="修改",I729*'模板使用说明&amp;基础参数'!$E$5*'模板使用说明&amp;基础参数'!$E$11,I729*'模板使用说明&amp;基础参数'!$E$5*'模板使用说明&amp;基础参数'!$E$10)),IF(J729="中",IF(K729="删除",I729*'模板使用说明&amp;基础参数'!$E$6*'模板使用说明&amp;基础参数'!$E$12,IF(K729="修改",I729*'模板使用说明&amp;基础参数'!$E$6*'模板使用说明&amp;基础参数'!$E$11,I729*'模板使用说明&amp;基础参数'!$E$6*'模板使用说明&amp;基础参数'!$E$10)),IF(K729="删除",I729*'模板使用说明&amp;基础参数'!$E$7*'模板使用说明&amp;基础参数'!$E$12,IF(K729="修改",I729*'模板使用说明&amp;基础参数'!$E$7*'模板使用说明&amp;基础参数'!$E$11,I729*'模板使用说明&amp;基础参数'!$E$7*'模板使用说明&amp;基础参数'!$E$10)))))</f>
        <v>1.06666666666667</v>
      </c>
      <c r="M729" s="95"/>
      <c r="N729" s="101"/>
      <c r="O729" s="101"/>
    </row>
    <row r="730" s="70" customFormat="1" ht="25" customHeight="1" spans="1:15">
      <c r="A730" s="93">
        <v>725</v>
      </c>
      <c r="B730" s="94" t="s">
        <v>72</v>
      </c>
      <c r="C730" s="90" t="s">
        <v>73</v>
      </c>
      <c r="D730" s="95" t="s">
        <v>74</v>
      </c>
      <c r="E730" s="95" t="s">
        <v>74</v>
      </c>
      <c r="F730" s="90" t="s">
        <v>1550</v>
      </c>
      <c r="G730" s="95" t="s">
        <v>1551</v>
      </c>
      <c r="H730" s="93" t="s">
        <v>84</v>
      </c>
      <c r="I730" s="96">
        <f>IF(H730="ILF",IF($C$1="预估功能点",'模板使用说明&amp;基础参数'!$E$15,7),IF(H730="EIF",IF($C$1="预估功能点",'模板使用说明&amp;基础参数'!$E$16,5),IF(H730="EI",IF($C$1="预估功能点",'模板使用说明&amp;基础参数'!$E$17,'模板使用说明&amp;基础参数'!$E$24),IF(H730="EO",IF($C$1="预估功能点",'模板使用说明&amp;基础参数'!$E$18,'模板使用说明&amp;基础参数'!$E$25),IF(H730="EQ",IF($C$1="预估功能点",'模板使用说明&amp;基础参数'!$E$19,'模板使用说明&amp;基础参数'!$E$26),"")))))</f>
        <v>4</v>
      </c>
      <c r="J730" s="97" t="s">
        <v>38</v>
      </c>
      <c r="K730" s="97" t="s">
        <v>78</v>
      </c>
      <c r="L730" s="98">
        <f>IF(I730="","",IF(J730="高",IF(K730="删除",I730*'模板使用说明&amp;基础参数'!$E$5*'模板使用说明&amp;基础参数'!$E$12,IF(K730="修改",I730*'模板使用说明&amp;基础参数'!$E$5*'模板使用说明&amp;基础参数'!$E$11,I730*'模板使用说明&amp;基础参数'!$E$5*'模板使用说明&amp;基础参数'!$E$10)),IF(J730="中",IF(K730="删除",I730*'模板使用说明&amp;基础参数'!$E$6*'模板使用说明&amp;基础参数'!$E$12,IF(K730="修改",I730*'模板使用说明&amp;基础参数'!$E$6*'模板使用说明&amp;基础参数'!$E$11,I730*'模板使用说明&amp;基础参数'!$E$6*'模板使用说明&amp;基础参数'!$E$10)),IF(K730="删除",I730*'模板使用说明&amp;基础参数'!$E$7*'模板使用说明&amp;基础参数'!$E$12,IF(K730="修改",I730*'模板使用说明&amp;基础参数'!$E$7*'模板使用说明&amp;基础参数'!$E$11,I730*'模板使用说明&amp;基础参数'!$E$7*'模板使用说明&amp;基础参数'!$E$10)))))</f>
        <v>1.06666666666667</v>
      </c>
      <c r="M730" s="95"/>
      <c r="N730" s="101"/>
      <c r="O730" s="101"/>
    </row>
    <row r="731" s="70" customFormat="1" ht="25" customHeight="1" spans="1:15">
      <c r="A731" s="93">
        <v>726</v>
      </c>
      <c r="B731" s="94" t="s">
        <v>72</v>
      </c>
      <c r="C731" s="90" t="s">
        <v>73</v>
      </c>
      <c r="D731" s="95" t="s">
        <v>74</v>
      </c>
      <c r="E731" s="95" t="s">
        <v>74</v>
      </c>
      <c r="F731" s="90" t="s">
        <v>1552</v>
      </c>
      <c r="G731" s="95" t="s">
        <v>1553</v>
      </c>
      <c r="H731" s="93" t="s">
        <v>77</v>
      </c>
      <c r="I731" s="96">
        <f>IF(H731="ILF",IF($C$1="预估功能点",'模板使用说明&amp;基础参数'!$E$15,7),IF(H731="EIF",IF($C$1="预估功能点",'模板使用说明&amp;基础参数'!$E$16,5),IF(H731="EI",IF($C$1="预估功能点",'模板使用说明&amp;基础参数'!$E$17,'模板使用说明&amp;基础参数'!$E$24),IF(H731="EO",IF($C$1="预估功能点",'模板使用说明&amp;基础参数'!$E$18,'模板使用说明&amp;基础参数'!$E$25),IF(H731="EQ",IF($C$1="预估功能点",'模板使用说明&amp;基础参数'!$E$19,'模板使用说明&amp;基础参数'!$E$26),"")))))</f>
        <v>7</v>
      </c>
      <c r="J731" s="97" t="s">
        <v>38</v>
      </c>
      <c r="K731" s="97" t="s">
        <v>78</v>
      </c>
      <c r="L731" s="98">
        <f>IF(I731="","",IF(J731="高",IF(K731="删除",I731*'模板使用说明&amp;基础参数'!$E$5*'模板使用说明&amp;基础参数'!$E$12,IF(K731="修改",I731*'模板使用说明&amp;基础参数'!$E$5*'模板使用说明&amp;基础参数'!$E$11,I731*'模板使用说明&amp;基础参数'!$E$5*'模板使用说明&amp;基础参数'!$E$10)),IF(J731="中",IF(K731="删除",I731*'模板使用说明&amp;基础参数'!$E$6*'模板使用说明&amp;基础参数'!$E$12,IF(K731="修改",I731*'模板使用说明&amp;基础参数'!$E$6*'模板使用说明&amp;基础参数'!$E$11,I731*'模板使用说明&amp;基础参数'!$E$6*'模板使用说明&amp;基础参数'!$E$10)),IF(K731="删除",I731*'模板使用说明&amp;基础参数'!$E$7*'模板使用说明&amp;基础参数'!$E$12,IF(K731="修改",I731*'模板使用说明&amp;基础参数'!$E$7*'模板使用说明&amp;基础参数'!$E$11,I731*'模板使用说明&amp;基础参数'!$E$7*'模板使用说明&amp;基础参数'!$E$10)))))</f>
        <v>1.86666666666666</v>
      </c>
      <c r="M731" s="95"/>
      <c r="N731" s="101"/>
      <c r="O731" s="101"/>
    </row>
    <row r="732" s="70" customFormat="1" ht="25" customHeight="1" spans="1:15">
      <c r="A732" s="93">
        <v>727</v>
      </c>
      <c r="B732" s="94" t="s">
        <v>72</v>
      </c>
      <c r="C732" s="90" t="s">
        <v>73</v>
      </c>
      <c r="D732" s="95" t="s">
        <v>74</v>
      </c>
      <c r="E732" s="95" t="s">
        <v>74</v>
      </c>
      <c r="F732" s="90" t="s">
        <v>1554</v>
      </c>
      <c r="G732" s="95" t="s">
        <v>1555</v>
      </c>
      <c r="H732" s="93" t="s">
        <v>81</v>
      </c>
      <c r="I732" s="96">
        <f>IF(H732="ILF",IF($C$1="预估功能点",'模板使用说明&amp;基础参数'!$E$15,7),IF(H732="EIF",IF($C$1="预估功能点",'模板使用说明&amp;基础参数'!$E$16,5),IF(H732="EI",IF($C$1="预估功能点",'模板使用说明&amp;基础参数'!$E$17,'模板使用说明&amp;基础参数'!$E$24),IF(H732="EO",IF($C$1="预估功能点",'模板使用说明&amp;基础参数'!$E$18,'模板使用说明&amp;基础参数'!$E$25),IF(H732="EQ",IF($C$1="预估功能点",'模板使用说明&amp;基础参数'!$E$19,'模板使用说明&amp;基础参数'!$E$26),"")))))</f>
        <v>4</v>
      </c>
      <c r="J732" s="97" t="s">
        <v>38</v>
      </c>
      <c r="K732" s="97" t="s">
        <v>78</v>
      </c>
      <c r="L732" s="98">
        <f>IF(I732="","",IF(J732="高",IF(K732="删除",I732*'模板使用说明&amp;基础参数'!$E$5*'模板使用说明&amp;基础参数'!$E$12,IF(K732="修改",I732*'模板使用说明&amp;基础参数'!$E$5*'模板使用说明&amp;基础参数'!$E$11,I732*'模板使用说明&amp;基础参数'!$E$5*'模板使用说明&amp;基础参数'!$E$10)),IF(J732="中",IF(K732="删除",I732*'模板使用说明&amp;基础参数'!$E$6*'模板使用说明&amp;基础参数'!$E$12,IF(K732="修改",I732*'模板使用说明&amp;基础参数'!$E$6*'模板使用说明&amp;基础参数'!$E$11,I732*'模板使用说明&amp;基础参数'!$E$6*'模板使用说明&amp;基础参数'!$E$10)),IF(K732="删除",I732*'模板使用说明&amp;基础参数'!$E$7*'模板使用说明&amp;基础参数'!$E$12,IF(K732="修改",I732*'模板使用说明&amp;基础参数'!$E$7*'模板使用说明&amp;基础参数'!$E$11,I732*'模板使用说明&amp;基础参数'!$E$7*'模板使用说明&amp;基础参数'!$E$10)))))</f>
        <v>1.06666666666667</v>
      </c>
      <c r="M732" s="95"/>
      <c r="N732" s="101"/>
      <c r="O732" s="101"/>
    </row>
    <row r="733" s="70" customFormat="1" ht="25" customHeight="1" spans="1:15">
      <c r="A733" s="93">
        <v>728</v>
      </c>
      <c r="B733" s="94" t="s">
        <v>72</v>
      </c>
      <c r="C733" s="90" t="s">
        <v>73</v>
      </c>
      <c r="D733" s="95" t="s">
        <v>74</v>
      </c>
      <c r="E733" s="95" t="s">
        <v>74</v>
      </c>
      <c r="F733" s="90" t="s">
        <v>1556</v>
      </c>
      <c r="G733" s="95" t="s">
        <v>1557</v>
      </c>
      <c r="H733" s="93" t="s">
        <v>84</v>
      </c>
      <c r="I733" s="96">
        <f>IF(H733="ILF",IF($C$1="预估功能点",'模板使用说明&amp;基础参数'!$E$15,7),IF(H733="EIF",IF($C$1="预估功能点",'模板使用说明&amp;基础参数'!$E$16,5),IF(H733="EI",IF($C$1="预估功能点",'模板使用说明&amp;基础参数'!$E$17,'模板使用说明&amp;基础参数'!$E$24),IF(H733="EO",IF($C$1="预估功能点",'模板使用说明&amp;基础参数'!$E$18,'模板使用说明&amp;基础参数'!$E$25),IF(H733="EQ",IF($C$1="预估功能点",'模板使用说明&amp;基础参数'!$E$19,'模板使用说明&amp;基础参数'!$E$26),"")))))</f>
        <v>4</v>
      </c>
      <c r="J733" s="97" t="s">
        <v>38</v>
      </c>
      <c r="K733" s="97" t="s">
        <v>78</v>
      </c>
      <c r="L733" s="98">
        <f>IF(I733="","",IF(J733="高",IF(K733="删除",I733*'模板使用说明&amp;基础参数'!$E$5*'模板使用说明&amp;基础参数'!$E$12,IF(K733="修改",I733*'模板使用说明&amp;基础参数'!$E$5*'模板使用说明&amp;基础参数'!$E$11,I733*'模板使用说明&amp;基础参数'!$E$5*'模板使用说明&amp;基础参数'!$E$10)),IF(J733="中",IF(K733="删除",I733*'模板使用说明&amp;基础参数'!$E$6*'模板使用说明&amp;基础参数'!$E$12,IF(K733="修改",I733*'模板使用说明&amp;基础参数'!$E$6*'模板使用说明&amp;基础参数'!$E$11,I733*'模板使用说明&amp;基础参数'!$E$6*'模板使用说明&amp;基础参数'!$E$10)),IF(K733="删除",I733*'模板使用说明&amp;基础参数'!$E$7*'模板使用说明&amp;基础参数'!$E$12,IF(K733="修改",I733*'模板使用说明&amp;基础参数'!$E$7*'模板使用说明&amp;基础参数'!$E$11,I733*'模板使用说明&amp;基础参数'!$E$7*'模板使用说明&amp;基础参数'!$E$10)))))</f>
        <v>1.06666666666667</v>
      </c>
      <c r="M733" s="95"/>
      <c r="N733" s="101"/>
      <c r="O733" s="101"/>
    </row>
    <row r="734" s="70" customFormat="1" ht="25" customHeight="1" spans="1:15">
      <c r="A734" s="93">
        <v>729</v>
      </c>
      <c r="B734" s="94" t="s">
        <v>72</v>
      </c>
      <c r="C734" s="90" t="s">
        <v>73</v>
      </c>
      <c r="D734" s="95" t="s">
        <v>74</v>
      </c>
      <c r="E734" s="95" t="s">
        <v>74</v>
      </c>
      <c r="F734" s="90" t="s">
        <v>1558</v>
      </c>
      <c r="G734" s="95" t="s">
        <v>1559</v>
      </c>
      <c r="H734" s="93" t="s">
        <v>84</v>
      </c>
      <c r="I734" s="96">
        <f>IF(H734="ILF",IF($C$1="预估功能点",'模板使用说明&amp;基础参数'!$E$15,7),IF(H734="EIF",IF($C$1="预估功能点",'模板使用说明&amp;基础参数'!$E$16,5),IF(H734="EI",IF($C$1="预估功能点",'模板使用说明&amp;基础参数'!$E$17,'模板使用说明&amp;基础参数'!$E$24),IF(H734="EO",IF($C$1="预估功能点",'模板使用说明&amp;基础参数'!$E$18,'模板使用说明&amp;基础参数'!$E$25),IF(H734="EQ",IF($C$1="预估功能点",'模板使用说明&amp;基础参数'!$E$19,'模板使用说明&amp;基础参数'!$E$26),"")))))</f>
        <v>4</v>
      </c>
      <c r="J734" s="97" t="s">
        <v>38</v>
      </c>
      <c r="K734" s="97" t="s">
        <v>78</v>
      </c>
      <c r="L734" s="98">
        <f>IF(I734="","",IF(J734="高",IF(K734="删除",I734*'模板使用说明&amp;基础参数'!$E$5*'模板使用说明&amp;基础参数'!$E$12,IF(K734="修改",I734*'模板使用说明&amp;基础参数'!$E$5*'模板使用说明&amp;基础参数'!$E$11,I734*'模板使用说明&amp;基础参数'!$E$5*'模板使用说明&amp;基础参数'!$E$10)),IF(J734="中",IF(K734="删除",I734*'模板使用说明&amp;基础参数'!$E$6*'模板使用说明&amp;基础参数'!$E$12,IF(K734="修改",I734*'模板使用说明&amp;基础参数'!$E$6*'模板使用说明&amp;基础参数'!$E$11,I734*'模板使用说明&amp;基础参数'!$E$6*'模板使用说明&amp;基础参数'!$E$10)),IF(K734="删除",I734*'模板使用说明&amp;基础参数'!$E$7*'模板使用说明&amp;基础参数'!$E$12,IF(K734="修改",I734*'模板使用说明&amp;基础参数'!$E$7*'模板使用说明&amp;基础参数'!$E$11,I734*'模板使用说明&amp;基础参数'!$E$7*'模板使用说明&amp;基础参数'!$E$10)))))</f>
        <v>1.06666666666667</v>
      </c>
      <c r="M734" s="95"/>
      <c r="N734" s="101"/>
      <c r="O734" s="101"/>
    </row>
    <row r="735" s="70" customFormat="1" ht="25" customHeight="1" spans="1:15">
      <c r="A735" s="93">
        <v>730</v>
      </c>
      <c r="B735" s="94" t="s">
        <v>72</v>
      </c>
      <c r="C735" s="90" t="s">
        <v>73</v>
      </c>
      <c r="D735" s="95" t="s">
        <v>74</v>
      </c>
      <c r="E735" s="95" t="s">
        <v>74</v>
      </c>
      <c r="F735" s="90" t="s">
        <v>1560</v>
      </c>
      <c r="G735" s="95" t="s">
        <v>1561</v>
      </c>
      <c r="H735" s="93" t="s">
        <v>84</v>
      </c>
      <c r="I735" s="96">
        <f>IF(H735="ILF",IF($C$1="预估功能点",'模板使用说明&amp;基础参数'!$E$15,7),IF(H735="EIF",IF($C$1="预估功能点",'模板使用说明&amp;基础参数'!$E$16,5),IF(H735="EI",IF($C$1="预估功能点",'模板使用说明&amp;基础参数'!$E$17,'模板使用说明&amp;基础参数'!$E$24),IF(H735="EO",IF($C$1="预估功能点",'模板使用说明&amp;基础参数'!$E$18,'模板使用说明&amp;基础参数'!$E$25),IF(H735="EQ",IF($C$1="预估功能点",'模板使用说明&amp;基础参数'!$E$19,'模板使用说明&amp;基础参数'!$E$26),"")))))</f>
        <v>4</v>
      </c>
      <c r="J735" s="97" t="s">
        <v>38</v>
      </c>
      <c r="K735" s="97" t="s">
        <v>78</v>
      </c>
      <c r="L735" s="98">
        <f>IF(I735="","",IF(J735="高",IF(K735="删除",I735*'模板使用说明&amp;基础参数'!$E$5*'模板使用说明&amp;基础参数'!$E$12,IF(K735="修改",I735*'模板使用说明&amp;基础参数'!$E$5*'模板使用说明&amp;基础参数'!$E$11,I735*'模板使用说明&amp;基础参数'!$E$5*'模板使用说明&amp;基础参数'!$E$10)),IF(J735="中",IF(K735="删除",I735*'模板使用说明&amp;基础参数'!$E$6*'模板使用说明&amp;基础参数'!$E$12,IF(K735="修改",I735*'模板使用说明&amp;基础参数'!$E$6*'模板使用说明&amp;基础参数'!$E$11,I735*'模板使用说明&amp;基础参数'!$E$6*'模板使用说明&amp;基础参数'!$E$10)),IF(K735="删除",I735*'模板使用说明&amp;基础参数'!$E$7*'模板使用说明&amp;基础参数'!$E$12,IF(K735="修改",I735*'模板使用说明&amp;基础参数'!$E$7*'模板使用说明&amp;基础参数'!$E$11,I735*'模板使用说明&amp;基础参数'!$E$7*'模板使用说明&amp;基础参数'!$E$10)))))</f>
        <v>1.06666666666667</v>
      </c>
      <c r="M735" s="95"/>
      <c r="N735" s="101"/>
      <c r="O735" s="101"/>
    </row>
    <row r="736" s="70" customFormat="1" ht="25" customHeight="1" spans="1:15">
      <c r="A736" s="93">
        <v>731</v>
      </c>
      <c r="B736" s="94" t="s">
        <v>72</v>
      </c>
      <c r="C736" s="90" t="s">
        <v>73</v>
      </c>
      <c r="D736" s="95" t="s">
        <v>74</v>
      </c>
      <c r="E736" s="95" t="s">
        <v>74</v>
      </c>
      <c r="F736" s="90" t="s">
        <v>1562</v>
      </c>
      <c r="G736" s="95" t="s">
        <v>1563</v>
      </c>
      <c r="H736" s="93" t="s">
        <v>77</v>
      </c>
      <c r="I736" s="96">
        <f>IF(H736="ILF",IF($C$1="预估功能点",'模板使用说明&amp;基础参数'!$E$15,7),IF(H736="EIF",IF($C$1="预估功能点",'模板使用说明&amp;基础参数'!$E$16,5),IF(H736="EI",IF($C$1="预估功能点",'模板使用说明&amp;基础参数'!$E$17,'模板使用说明&amp;基础参数'!$E$24),IF(H736="EO",IF($C$1="预估功能点",'模板使用说明&amp;基础参数'!$E$18,'模板使用说明&amp;基础参数'!$E$25),IF(H736="EQ",IF($C$1="预估功能点",'模板使用说明&amp;基础参数'!$E$19,'模板使用说明&amp;基础参数'!$E$26),"")))))</f>
        <v>7</v>
      </c>
      <c r="J736" s="97" t="s">
        <v>38</v>
      </c>
      <c r="K736" s="97" t="s">
        <v>78</v>
      </c>
      <c r="L736" s="98">
        <f>IF(I736="","",IF(J736="高",IF(K736="删除",I736*'模板使用说明&amp;基础参数'!$E$5*'模板使用说明&amp;基础参数'!$E$12,IF(K736="修改",I736*'模板使用说明&amp;基础参数'!$E$5*'模板使用说明&amp;基础参数'!$E$11,I736*'模板使用说明&amp;基础参数'!$E$5*'模板使用说明&amp;基础参数'!$E$10)),IF(J736="中",IF(K736="删除",I736*'模板使用说明&amp;基础参数'!$E$6*'模板使用说明&amp;基础参数'!$E$12,IF(K736="修改",I736*'模板使用说明&amp;基础参数'!$E$6*'模板使用说明&amp;基础参数'!$E$11,I736*'模板使用说明&amp;基础参数'!$E$6*'模板使用说明&amp;基础参数'!$E$10)),IF(K736="删除",I736*'模板使用说明&amp;基础参数'!$E$7*'模板使用说明&amp;基础参数'!$E$12,IF(K736="修改",I736*'模板使用说明&amp;基础参数'!$E$7*'模板使用说明&amp;基础参数'!$E$11,I736*'模板使用说明&amp;基础参数'!$E$7*'模板使用说明&amp;基础参数'!$E$10)))))</f>
        <v>1.86666666666666</v>
      </c>
      <c r="M736" s="95"/>
      <c r="N736" s="101"/>
      <c r="O736" s="101"/>
    </row>
    <row r="737" s="70" customFormat="1" ht="25" customHeight="1" spans="1:15">
      <c r="A737" s="93">
        <v>732</v>
      </c>
      <c r="B737" s="94" t="s">
        <v>72</v>
      </c>
      <c r="C737" s="90" t="s">
        <v>73</v>
      </c>
      <c r="D737" s="95" t="s">
        <v>74</v>
      </c>
      <c r="E737" s="95" t="s">
        <v>74</v>
      </c>
      <c r="F737" s="90" t="s">
        <v>1564</v>
      </c>
      <c r="G737" s="95" t="s">
        <v>1565</v>
      </c>
      <c r="H737" s="93" t="s">
        <v>81</v>
      </c>
      <c r="I737" s="96">
        <f>IF(H737="ILF",IF($C$1="预估功能点",'模板使用说明&amp;基础参数'!$E$15,7),IF(H737="EIF",IF($C$1="预估功能点",'模板使用说明&amp;基础参数'!$E$16,5),IF(H737="EI",IF($C$1="预估功能点",'模板使用说明&amp;基础参数'!$E$17,'模板使用说明&amp;基础参数'!$E$24),IF(H737="EO",IF($C$1="预估功能点",'模板使用说明&amp;基础参数'!$E$18,'模板使用说明&amp;基础参数'!$E$25),IF(H737="EQ",IF($C$1="预估功能点",'模板使用说明&amp;基础参数'!$E$19,'模板使用说明&amp;基础参数'!$E$26),"")))))</f>
        <v>4</v>
      </c>
      <c r="J737" s="97" t="s">
        <v>38</v>
      </c>
      <c r="K737" s="97" t="s">
        <v>78</v>
      </c>
      <c r="L737" s="98">
        <f>IF(I737="","",IF(J737="高",IF(K737="删除",I737*'模板使用说明&amp;基础参数'!$E$5*'模板使用说明&amp;基础参数'!$E$12,IF(K737="修改",I737*'模板使用说明&amp;基础参数'!$E$5*'模板使用说明&amp;基础参数'!$E$11,I737*'模板使用说明&amp;基础参数'!$E$5*'模板使用说明&amp;基础参数'!$E$10)),IF(J737="中",IF(K737="删除",I737*'模板使用说明&amp;基础参数'!$E$6*'模板使用说明&amp;基础参数'!$E$12,IF(K737="修改",I737*'模板使用说明&amp;基础参数'!$E$6*'模板使用说明&amp;基础参数'!$E$11,I737*'模板使用说明&amp;基础参数'!$E$6*'模板使用说明&amp;基础参数'!$E$10)),IF(K737="删除",I737*'模板使用说明&amp;基础参数'!$E$7*'模板使用说明&amp;基础参数'!$E$12,IF(K737="修改",I737*'模板使用说明&amp;基础参数'!$E$7*'模板使用说明&amp;基础参数'!$E$11,I737*'模板使用说明&amp;基础参数'!$E$7*'模板使用说明&amp;基础参数'!$E$10)))))</f>
        <v>1.06666666666667</v>
      </c>
      <c r="M737" s="95"/>
      <c r="N737" s="101"/>
      <c r="O737" s="101"/>
    </row>
    <row r="738" s="70" customFormat="1" ht="25" customHeight="1" spans="1:15">
      <c r="A738" s="93">
        <v>733</v>
      </c>
      <c r="B738" s="94" t="s">
        <v>72</v>
      </c>
      <c r="C738" s="90" t="s">
        <v>73</v>
      </c>
      <c r="D738" s="95" t="s">
        <v>74</v>
      </c>
      <c r="E738" s="95" t="s">
        <v>74</v>
      </c>
      <c r="F738" s="90" t="s">
        <v>1566</v>
      </c>
      <c r="G738" s="95" t="s">
        <v>1567</v>
      </c>
      <c r="H738" s="93" t="s">
        <v>84</v>
      </c>
      <c r="I738" s="96">
        <f>IF(H738="ILF",IF($C$1="预估功能点",'模板使用说明&amp;基础参数'!$E$15,7),IF(H738="EIF",IF($C$1="预估功能点",'模板使用说明&amp;基础参数'!$E$16,5),IF(H738="EI",IF($C$1="预估功能点",'模板使用说明&amp;基础参数'!$E$17,'模板使用说明&amp;基础参数'!$E$24),IF(H738="EO",IF($C$1="预估功能点",'模板使用说明&amp;基础参数'!$E$18,'模板使用说明&amp;基础参数'!$E$25),IF(H738="EQ",IF($C$1="预估功能点",'模板使用说明&amp;基础参数'!$E$19,'模板使用说明&amp;基础参数'!$E$26),"")))))</f>
        <v>4</v>
      </c>
      <c r="J738" s="97" t="s">
        <v>38</v>
      </c>
      <c r="K738" s="97" t="s">
        <v>78</v>
      </c>
      <c r="L738" s="98">
        <f>IF(I738="","",IF(J738="高",IF(K738="删除",I738*'模板使用说明&amp;基础参数'!$E$5*'模板使用说明&amp;基础参数'!$E$12,IF(K738="修改",I738*'模板使用说明&amp;基础参数'!$E$5*'模板使用说明&amp;基础参数'!$E$11,I738*'模板使用说明&amp;基础参数'!$E$5*'模板使用说明&amp;基础参数'!$E$10)),IF(J738="中",IF(K738="删除",I738*'模板使用说明&amp;基础参数'!$E$6*'模板使用说明&amp;基础参数'!$E$12,IF(K738="修改",I738*'模板使用说明&amp;基础参数'!$E$6*'模板使用说明&amp;基础参数'!$E$11,I738*'模板使用说明&amp;基础参数'!$E$6*'模板使用说明&amp;基础参数'!$E$10)),IF(K738="删除",I738*'模板使用说明&amp;基础参数'!$E$7*'模板使用说明&amp;基础参数'!$E$12,IF(K738="修改",I738*'模板使用说明&amp;基础参数'!$E$7*'模板使用说明&amp;基础参数'!$E$11,I738*'模板使用说明&amp;基础参数'!$E$7*'模板使用说明&amp;基础参数'!$E$10)))))</f>
        <v>1.06666666666667</v>
      </c>
      <c r="M738" s="95"/>
      <c r="N738" s="101"/>
      <c r="O738" s="101"/>
    </row>
    <row r="739" s="70" customFormat="1" ht="25" customHeight="1" spans="1:15">
      <c r="A739" s="93">
        <v>734</v>
      </c>
      <c r="B739" s="94" t="s">
        <v>72</v>
      </c>
      <c r="C739" s="90" t="s">
        <v>73</v>
      </c>
      <c r="D739" s="95" t="s">
        <v>74</v>
      </c>
      <c r="E739" s="95" t="s">
        <v>74</v>
      </c>
      <c r="F739" s="90" t="s">
        <v>1568</v>
      </c>
      <c r="G739" s="95" t="s">
        <v>1569</v>
      </c>
      <c r="H739" s="93" t="s">
        <v>84</v>
      </c>
      <c r="I739" s="96">
        <f>IF(H739="ILF",IF($C$1="预估功能点",'模板使用说明&amp;基础参数'!$E$15,7),IF(H739="EIF",IF($C$1="预估功能点",'模板使用说明&amp;基础参数'!$E$16,5),IF(H739="EI",IF($C$1="预估功能点",'模板使用说明&amp;基础参数'!$E$17,'模板使用说明&amp;基础参数'!$E$24),IF(H739="EO",IF($C$1="预估功能点",'模板使用说明&amp;基础参数'!$E$18,'模板使用说明&amp;基础参数'!$E$25),IF(H739="EQ",IF($C$1="预估功能点",'模板使用说明&amp;基础参数'!$E$19,'模板使用说明&amp;基础参数'!$E$26),"")))))</f>
        <v>4</v>
      </c>
      <c r="J739" s="97" t="s">
        <v>38</v>
      </c>
      <c r="K739" s="97" t="s">
        <v>78</v>
      </c>
      <c r="L739" s="98">
        <f>IF(I739="","",IF(J739="高",IF(K739="删除",I739*'模板使用说明&amp;基础参数'!$E$5*'模板使用说明&amp;基础参数'!$E$12,IF(K739="修改",I739*'模板使用说明&amp;基础参数'!$E$5*'模板使用说明&amp;基础参数'!$E$11,I739*'模板使用说明&amp;基础参数'!$E$5*'模板使用说明&amp;基础参数'!$E$10)),IF(J739="中",IF(K739="删除",I739*'模板使用说明&amp;基础参数'!$E$6*'模板使用说明&amp;基础参数'!$E$12,IF(K739="修改",I739*'模板使用说明&amp;基础参数'!$E$6*'模板使用说明&amp;基础参数'!$E$11,I739*'模板使用说明&amp;基础参数'!$E$6*'模板使用说明&amp;基础参数'!$E$10)),IF(K739="删除",I739*'模板使用说明&amp;基础参数'!$E$7*'模板使用说明&amp;基础参数'!$E$12,IF(K739="修改",I739*'模板使用说明&amp;基础参数'!$E$7*'模板使用说明&amp;基础参数'!$E$11,I739*'模板使用说明&amp;基础参数'!$E$7*'模板使用说明&amp;基础参数'!$E$10)))))</f>
        <v>1.06666666666667</v>
      </c>
      <c r="M739" s="95"/>
      <c r="N739" s="101"/>
      <c r="O739" s="101"/>
    </row>
    <row r="740" s="70" customFormat="1" ht="25" customHeight="1" spans="1:15">
      <c r="A740" s="93">
        <v>735</v>
      </c>
      <c r="B740" s="94" t="s">
        <v>72</v>
      </c>
      <c r="C740" s="90" t="s">
        <v>73</v>
      </c>
      <c r="D740" s="95" t="s">
        <v>74</v>
      </c>
      <c r="E740" s="95" t="s">
        <v>74</v>
      </c>
      <c r="F740" s="90" t="s">
        <v>1570</v>
      </c>
      <c r="G740" s="95" t="s">
        <v>1571</v>
      </c>
      <c r="H740" s="93" t="s">
        <v>84</v>
      </c>
      <c r="I740" s="96">
        <f>IF(H740="ILF",IF($C$1="预估功能点",'模板使用说明&amp;基础参数'!$E$15,7),IF(H740="EIF",IF($C$1="预估功能点",'模板使用说明&amp;基础参数'!$E$16,5),IF(H740="EI",IF($C$1="预估功能点",'模板使用说明&amp;基础参数'!$E$17,'模板使用说明&amp;基础参数'!$E$24),IF(H740="EO",IF($C$1="预估功能点",'模板使用说明&amp;基础参数'!$E$18,'模板使用说明&amp;基础参数'!$E$25),IF(H740="EQ",IF($C$1="预估功能点",'模板使用说明&amp;基础参数'!$E$19,'模板使用说明&amp;基础参数'!$E$26),"")))))</f>
        <v>4</v>
      </c>
      <c r="J740" s="97" t="s">
        <v>38</v>
      </c>
      <c r="K740" s="97" t="s">
        <v>78</v>
      </c>
      <c r="L740" s="98">
        <f>IF(I740="","",IF(J740="高",IF(K740="删除",I740*'模板使用说明&amp;基础参数'!$E$5*'模板使用说明&amp;基础参数'!$E$12,IF(K740="修改",I740*'模板使用说明&amp;基础参数'!$E$5*'模板使用说明&amp;基础参数'!$E$11,I740*'模板使用说明&amp;基础参数'!$E$5*'模板使用说明&amp;基础参数'!$E$10)),IF(J740="中",IF(K740="删除",I740*'模板使用说明&amp;基础参数'!$E$6*'模板使用说明&amp;基础参数'!$E$12,IF(K740="修改",I740*'模板使用说明&amp;基础参数'!$E$6*'模板使用说明&amp;基础参数'!$E$11,I740*'模板使用说明&amp;基础参数'!$E$6*'模板使用说明&amp;基础参数'!$E$10)),IF(K740="删除",I740*'模板使用说明&amp;基础参数'!$E$7*'模板使用说明&amp;基础参数'!$E$12,IF(K740="修改",I740*'模板使用说明&amp;基础参数'!$E$7*'模板使用说明&amp;基础参数'!$E$11,I740*'模板使用说明&amp;基础参数'!$E$7*'模板使用说明&amp;基础参数'!$E$10)))))</f>
        <v>1.06666666666667</v>
      </c>
      <c r="M740" s="95"/>
      <c r="N740" s="101"/>
      <c r="O740" s="101"/>
    </row>
    <row r="741" s="70" customFormat="1" ht="25" customHeight="1" spans="1:15">
      <c r="A741" s="93">
        <v>736</v>
      </c>
      <c r="B741" s="94" t="s">
        <v>72</v>
      </c>
      <c r="C741" s="90" t="s">
        <v>73</v>
      </c>
      <c r="D741" s="95" t="s">
        <v>74</v>
      </c>
      <c r="E741" s="95" t="s">
        <v>74</v>
      </c>
      <c r="F741" s="90" t="s">
        <v>1572</v>
      </c>
      <c r="G741" s="95" t="s">
        <v>1573</v>
      </c>
      <c r="H741" s="93" t="s">
        <v>77</v>
      </c>
      <c r="I741" s="96">
        <f>IF(H741="ILF",IF($C$1="预估功能点",'模板使用说明&amp;基础参数'!$E$15,7),IF(H741="EIF",IF($C$1="预估功能点",'模板使用说明&amp;基础参数'!$E$16,5),IF(H741="EI",IF($C$1="预估功能点",'模板使用说明&amp;基础参数'!$E$17,'模板使用说明&amp;基础参数'!$E$24),IF(H741="EO",IF($C$1="预估功能点",'模板使用说明&amp;基础参数'!$E$18,'模板使用说明&amp;基础参数'!$E$25),IF(H741="EQ",IF($C$1="预估功能点",'模板使用说明&amp;基础参数'!$E$19,'模板使用说明&amp;基础参数'!$E$26),"")))))</f>
        <v>7</v>
      </c>
      <c r="J741" s="97" t="s">
        <v>38</v>
      </c>
      <c r="K741" s="97" t="s">
        <v>78</v>
      </c>
      <c r="L741" s="98">
        <f>IF(I741="","",IF(J741="高",IF(K741="删除",I741*'模板使用说明&amp;基础参数'!$E$5*'模板使用说明&amp;基础参数'!$E$12,IF(K741="修改",I741*'模板使用说明&amp;基础参数'!$E$5*'模板使用说明&amp;基础参数'!$E$11,I741*'模板使用说明&amp;基础参数'!$E$5*'模板使用说明&amp;基础参数'!$E$10)),IF(J741="中",IF(K741="删除",I741*'模板使用说明&amp;基础参数'!$E$6*'模板使用说明&amp;基础参数'!$E$12,IF(K741="修改",I741*'模板使用说明&amp;基础参数'!$E$6*'模板使用说明&amp;基础参数'!$E$11,I741*'模板使用说明&amp;基础参数'!$E$6*'模板使用说明&amp;基础参数'!$E$10)),IF(K741="删除",I741*'模板使用说明&amp;基础参数'!$E$7*'模板使用说明&amp;基础参数'!$E$12,IF(K741="修改",I741*'模板使用说明&amp;基础参数'!$E$7*'模板使用说明&amp;基础参数'!$E$11,I741*'模板使用说明&amp;基础参数'!$E$7*'模板使用说明&amp;基础参数'!$E$10)))))</f>
        <v>1.86666666666666</v>
      </c>
      <c r="M741" s="95"/>
      <c r="N741" s="101"/>
      <c r="O741" s="101"/>
    </row>
    <row r="742" s="70" customFormat="1" ht="25" customHeight="1" spans="1:15">
      <c r="A742" s="93">
        <v>737</v>
      </c>
      <c r="B742" s="94" t="s">
        <v>72</v>
      </c>
      <c r="C742" s="90" t="s">
        <v>73</v>
      </c>
      <c r="D742" s="95" t="s">
        <v>74</v>
      </c>
      <c r="E742" s="95" t="s">
        <v>74</v>
      </c>
      <c r="F742" s="90" t="s">
        <v>1574</v>
      </c>
      <c r="G742" s="95" t="s">
        <v>1575</v>
      </c>
      <c r="H742" s="93" t="s">
        <v>81</v>
      </c>
      <c r="I742" s="96">
        <f>IF(H742="ILF",IF($C$1="预估功能点",'模板使用说明&amp;基础参数'!$E$15,7),IF(H742="EIF",IF($C$1="预估功能点",'模板使用说明&amp;基础参数'!$E$16,5),IF(H742="EI",IF($C$1="预估功能点",'模板使用说明&amp;基础参数'!$E$17,'模板使用说明&amp;基础参数'!$E$24),IF(H742="EO",IF($C$1="预估功能点",'模板使用说明&amp;基础参数'!$E$18,'模板使用说明&amp;基础参数'!$E$25),IF(H742="EQ",IF($C$1="预估功能点",'模板使用说明&amp;基础参数'!$E$19,'模板使用说明&amp;基础参数'!$E$26),"")))))</f>
        <v>4</v>
      </c>
      <c r="J742" s="97" t="s">
        <v>38</v>
      </c>
      <c r="K742" s="97" t="s">
        <v>78</v>
      </c>
      <c r="L742" s="98">
        <f>IF(I742="","",IF(J742="高",IF(K742="删除",I742*'模板使用说明&amp;基础参数'!$E$5*'模板使用说明&amp;基础参数'!$E$12,IF(K742="修改",I742*'模板使用说明&amp;基础参数'!$E$5*'模板使用说明&amp;基础参数'!$E$11,I742*'模板使用说明&amp;基础参数'!$E$5*'模板使用说明&amp;基础参数'!$E$10)),IF(J742="中",IF(K742="删除",I742*'模板使用说明&amp;基础参数'!$E$6*'模板使用说明&amp;基础参数'!$E$12,IF(K742="修改",I742*'模板使用说明&amp;基础参数'!$E$6*'模板使用说明&amp;基础参数'!$E$11,I742*'模板使用说明&amp;基础参数'!$E$6*'模板使用说明&amp;基础参数'!$E$10)),IF(K742="删除",I742*'模板使用说明&amp;基础参数'!$E$7*'模板使用说明&amp;基础参数'!$E$12,IF(K742="修改",I742*'模板使用说明&amp;基础参数'!$E$7*'模板使用说明&amp;基础参数'!$E$11,I742*'模板使用说明&amp;基础参数'!$E$7*'模板使用说明&amp;基础参数'!$E$10)))))</f>
        <v>1.06666666666667</v>
      </c>
      <c r="M742" s="95"/>
      <c r="N742" s="101"/>
      <c r="O742" s="101"/>
    </row>
    <row r="743" s="70" customFormat="1" ht="25" customHeight="1" spans="1:15">
      <c r="A743" s="93">
        <v>738</v>
      </c>
      <c r="B743" s="94" t="s">
        <v>72</v>
      </c>
      <c r="C743" s="90" t="s">
        <v>73</v>
      </c>
      <c r="D743" s="95" t="s">
        <v>74</v>
      </c>
      <c r="E743" s="95" t="s">
        <v>74</v>
      </c>
      <c r="F743" s="90" t="s">
        <v>1576</v>
      </c>
      <c r="G743" s="95" t="s">
        <v>1577</v>
      </c>
      <c r="H743" s="93" t="s">
        <v>84</v>
      </c>
      <c r="I743" s="96">
        <f>IF(H743="ILF",IF($C$1="预估功能点",'模板使用说明&amp;基础参数'!$E$15,7),IF(H743="EIF",IF($C$1="预估功能点",'模板使用说明&amp;基础参数'!$E$16,5),IF(H743="EI",IF($C$1="预估功能点",'模板使用说明&amp;基础参数'!$E$17,'模板使用说明&amp;基础参数'!$E$24),IF(H743="EO",IF($C$1="预估功能点",'模板使用说明&amp;基础参数'!$E$18,'模板使用说明&amp;基础参数'!$E$25),IF(H743="EQ",IF($C$1="预估功能点",'模板使用说明&amp;基础参数'!$E$19,'模板使用说明&amp;基础参数'!$E$26),"")))))</f>
        <v>4</v>
      </c>
      <c r="J743" s="97" t="s">
        <v>38</v>
      </c>
      <c r="K743" s="97" t="s">
        <v>78</v>
      </c>
      <c r="L743" s="98">
        <f>IF(I743="","",IF(J743="高",IF(K743="删除",I743*'模板使用说明&amp;基础参数'!$E$5*'模板使用说明&amp;基础参数'!$E$12,IF(K743="修改",I743*'模板使用说明&amp;基础参数'!$E$5*'模板使用说明&amp;基础参数'!$E$11,I743*'模板使用说明&amp;基础参数'!$E$5*'模板使用说明&amp;基础参数'!$E$10)),IF(J743="中",IF(K743="删除",I743*'模板使用说明&amp;基础参数'!$E$6*'模板使用说明&amp;基础参数'!$E$12,IF(K743="修改",I743*'模板使用说明&amp;基础参数'!$E$6*'模板使用说明&amp;基础参数'!$E$11,I743*'模板使用说明&amp;基础参数'!$E$6*'模板使用说明&amp;基础参数'!$E$10)),IF(K743="删除",I743*'模板使用说明&amp;基础参数'!$E$7*'模板使用说明&amp;基础参数'!$E$12,IF(K743="修改",I743*'模板使用说明&amp;基础参数'!$E$7*'模板使用说明&amp;基础参数'!$E$11,I743*'模板使用说明&amp;基础参数'!$E$7*'模板使用说明&amp;基础参数'!$E$10)))))</f>
        <v>1.06666666666667</v>
      </c>
      <c r="M743" s="95"/>
      <c r="N743" s="101"/>
      <c r="O743" s="101"/>
    </row>
    <row r="744" s="70" customFormat="1" ht="25" customHeight="1" spans="1:15">
      <c r="A744" s="93">
        <v>739</v>
      </c>
      <c r="B744" s="94" t="s">
        <v>72</v>
      </c>
      <c r="C744" s="90" t="s">
        <v>73</v>
      </c>
      <c r="D744" s="95" t="s">
        <v>74</v>
      </c>
      <c r="E744" s="95" t="s">
        <v>74</v>
      </c>
      <c r="F744" s="90" t="s">
        <v>1578</v>
      </c>
      <c r="G744" s="95" t="s">
        <v>1579</v>
      </c>
      <c r="H744" s="93" t="s">
        <v>84</v>
      </c>
      <c r="I744" s="96">
        <f>IF(H744="ILF",IF($C$1="预估功能点",'模板使用说明&amp;基础参数'!$E$15,7),IF(H744="EIF",IF($C$1="预估功能点",'模板使用说明&amp;基础参数'!$E$16,5),IF(H744="EI",IF($C$1="预估功能点",'模板使用说明&amp;基础参数'!$E$17,'模板使用说明&amp;基础参数'!$E$24),IF(H744="EO",IF($C$1="预估功能点",'模板使用说明&amp;基础参数'!$E$18,'模板使用说明&amp;基础参数'!$E$25),IF(H744="EQ",IF($C$1="预估功能点",'模板使用说明&amp;基础参数'!$E$19,'模板使用说明&amp;基础参数'!$E$26),"")))))</f>
        <v>4</v>
      </c>
      <c r="J744" s="97" t="s">
        <v>38</v>
      </c>
      <c r="K744" s="97" t="s">
        <v>78</v>
      </c>
      <c r="L744" s="98">
        <f>IF(I744="","",IF(J744="高",IF(K744="删除",I744*'模板使用说明&amp;基础参数'!$E$5*'模板使用说明&amp;基础参数'!$E$12,IF(K744="修改",I744*'模板使用说明&amp;基础参数'!$E$5*'模板使用说明&amp;基础参数'!$E$11,I744*'模板使用说明&amp;基础参数'!$E$5*'模板使用说明&amp;基础参数'!$E$10)),IF(J744="中",IF(K744="删除",I744*'模板使用说明&amp;基础参数'!$E$6*'模板使用说明&amp;基础参数'!$E$12,IF(K744="修改",I744*'模板使用说明&amp;基础参数'!$E$6*'模板使用说明&amp;基础参数'!$E$11,I744*'模板使用说明&amp;基础参数'!$E$6*'模板使用说明&amp;基础参数'!$E$10)),IF(K744="删除",I744*'模板使用说明&amp;基础参数'!$E$7*'模板使用说明&amp;基础参数'!$E$12,IF(K744="修改",I744*'模板使用说明&amp;基础参数'!$E$7*'模板使用说明&amp;基础参数'!$E$11,I744*'模板使用说明&amp;基础参数'!$E$7*'模板使用说明&amp;基础参数'!$E$10)))))</f>
        <v>1.06666666666667</v>
      </c>
      <c r="M744" s="95"/>
      <c r="N744" s="101"/>
      <c r="O744" s="101"/>
    </row>
    <row r="745" s="70" customFormat="1" ht="25" customHeight="1" spans="1:15">
      <c r="A745" s="93">
        <v>740</v>
      </c>
      <c r="B745" s="94" t="s">
        <v>72</v>
      </c>
      <c r="C745" s="90" t="s">
        <v>73</v>
      </c>
      <c r="D745" s="95" t="s">
        <v>74</v>
      </c>
      <c r="E745" s="95" t="s">
        <v>74</v>
      </c>
      <c r="F745" s="90" t="s">
        <v>1580</v>
      </c>
      <c r="G745" s="95" t="s">
        <v>1581</v>
      </c>
      <c r="H745" s="93" t="s">
        <v>84</v>
      </c>
      <c r="I745" s="96">
        <f>IF(H745="ILF",IF($C$1="预估功能点",'模板使用说明&amp;基础参数'!$E$15,7),IF(H745="EIF",IF($C$1="预估功能点",'模板使用说明&amp;基础参数'!$E$16,5),IF(H745="EI",IF($C$1="预估功能点",'模板使用说明&amp;基础参数'!$E$17,'模板使用说明&amp;基础参数'!$E$24),IF(H745="EO",IF($C$1="预估功能点",'模板使用说明&amp;基础参数'!$E$18,'模板使用说明&amp;基础参数'!$E$25),IF(H745="EQ",IF($C$1="预估功能点",'模板使用说明&amp;基础参数'!$E$19,'模板使用说明&amp;基础参数'!$E$26),"")))))</f>
        <v>4</v>
      </c>
      <c r="J745" s="97" t="s">
        <v>38</v>
      </c>
      <c r="K745" s="97" t="s">
        <v>78</v>
      </c>
      <c r="L745" s="98">
        <f>IF(I745="","",IF(J745="高",IF(K745="删除",I745*'模板使用说明&amp;基础参数'!$E$5*'模板使用说明&amp;基础参数'!$E$12,IF(K745="修改",I745*'模板使用说明&amp;基础参数'!$E$5*'模板使用说明&amp;基础参数'!$E$11,I745*'模板使用说明&amp;基础参数'!$E$5*'模板使用说明&amp;基础参数'!$E$10)),IF(J745="中",IF(K745="删除",I745*'模板使用说明&amp;基础参数'!$E$6*'模板使用说明&amp;基础参数'!$E$12,IF(K745="修改",I745*'模板使用说明&amp;基础参数'!$E$6*'模板使用说明&amp;基础参数'!$E$11,I745*'模板使用说明&amp;基础参数'!$E$6*'模板使用说明&amp;基础参数'!$E$10)),IF(K745="删除",I745*'模板使用说明&amp;基础参数'!$E$7*'模板使用说明&amp;基础参数'!$E$12,IF(K745="修改",I745*'模板使用说明&amp;基础参数'!$E$7*'模板使用说明&amp;基础参数'!$E$11,I745*'模板使用说明&amp;基础参数'!$E$7*'模板使用说明&amp;基础参数'!$E$10)))))</f>
        <v>1.06666666666667</v>
      </c>
      <c r="M745" s="95"/>
      <c r="N745" s="101"/>
      <c r="O745" s="101"/>
    </row>
    <row r="746" s="70" customFormat="1" ht="25" customHeight="1" spans="1:15">
      <c r="A746" s="93">
        <v>741</v>
      </c>
      <c r="B746" s="94" t="s">
        <v>72</v>
      </c>
      <c r="C746" s="90" t="s">
        <v>73</v>
      </c>
      <c r="D746" s="95" t="s">
        <v>74</v>
      </c>
      <c r="E746" s="95" t="s">
        <v>74</v>
      </c>
      <c r="F746" s="90" t="s">
        <v>1582</v>
      </c>
      <c r="G746" s="95" t="s">
        <v>1583</v>
      </c>
      <c r="H746" s="93" t="s">
        <v>77</v>
      </c>
      <c r="I746" s="96">
        <f>IF(H746="ILF",IF($C$1="预估功能点",'模板使用说明&amp;基础参数'!$E$15,7),IF(H746="EIF",IF($C$1="预估功能点",'模板使用说明&amp;基础参数'!$E$16,5),IF(H746="EI",IF($C$1="预估功能点",'模板使用说明&amp;基础参数'!$E$17,'模板使用说明&amp;基础参数'!$E$24),IF(H746="EO",IF($C$1="预估功能点",'模板使用说明&amp;基础参数'!$E$18,'模板使用说明&amp;基础参数'!$E$25),IF(H746="EQ",IF($C$1="预估功能点",'模板使用说明&amp;基础参数'!$E$19,'模板使用说明&amp;基础参数'!$E$26),"")))))</f>
        <v>7</v>
      </c>
      <c r="J746" s="97" t="s">
        <v>38</v>
      </c>
      <c r="K746" s="97" t="s">
        <v>78</v>
      </c>
      <c r="L746" s="98">
        <f>IF(I746="","",IF(J746="高",IF(K746="删除",I746*'模板使用说明&amp;基础参数'!$E$5*'模板使用说明&amp;基础参数'!$E$12,IF(K746="修改",I746*'模板使用说明&amp;基础参数'!$E$5*'模板使用说明&amp;基础参数'!$E$11,I746*'模板使用说明&amp;基础参数'!$E$5*'模板使用说明&amp;基础参数'!$E$10)),IF(J746="中",IF(K746="删除",I746*'模板使用说明&amp;基础参数'!$E$6*'模板使用说明&amp;基础参数'!$E$12,IF(K746="修改",I746*'模板使用说明&amp;基础参数'!$E$6*'模板使用说明&amp;基础参数'!$E$11,I746*'模板使用说明&amp;基础参数'!$E$6*'模板使用说明&amp;基础参数'!$E$10)),IF(K746="删除",I746*'模板使用说明&amp;基础参数'!$E$7*'模板使用说明&amp;基础参数'!$E$12,IF(K746="修改",I746*'模板使用说明&amp;基础参数'!$E$7*'模板使用说明&amp;基础参数'!$E$11,I746*'模板使用说明&amp;基础参数'!$E$7*'模板使用说明&amp;基础参数'!$E$10)))))</f>
        <v>1.86666666666666</v>
      </c>
      <c r="M746" s="95"/>
      <c r="N746" s="101"/>
      <c r="O746" s="101"/>
    </row>
    <row r="747" s="70" customFormat="1" ht="25" customHeight="1" spans="1:15">
      <c r="A747" s="93">
        <v>742</v>
      </c>
      <c r="B747" s="94" t="s">
        <v>72</v>
      </c>
      <c r="C747" s="90" t="s">
        <v>73</v>
      </c>
      <c r="D747" s="95" t="s">
        <v>74</v>
      </c>
      <c r="E747" s="95" t="s">
        <v>74</v>
      </c>
      <c r="F747" s="90" t="s">
        <v>1584</v>
      </c>
      <c r="G747" s="95" t="s">
        <v>1585</v>
      </c>
      <c r="H747" s="93" t="s">
        <v>81</v>
      </c>
      <c r="I747" s="96">
        <f>IF(H747="ILF",IF($C$1="预估功能点",'模板使用说明&amp;基础参数'!$E$15,7),IF(H747="EIF",IF($C$1="预估功能点",'模板使用说明&amp;基础参数'!$E$16,5),IF(H747="EI",IF($C$1="预估功能点",'模板使用说明&amp;基础参数'!$E$17,'模板使用说明&amp;基础参数'!$E$24),IF(H747="EO",IF($C$1="预估功能点",'模板使用说明&amp;基础参数'!$E$18,'模板使用说明&amp;基础参数'!$E$25),IF(H747="EQ",IF($C$1="预估功能点",'模板使用说明&amp;基础参数'!$E$19,'模板使用说明&amp;基础参数'!$E$26),"")))))</f>
        <v>4</v>
      </c>
      <c r="J747" s="97" t="s">
        <v>38</v>
      </c>
      <c r="K747" s="97" t="s">
        <v>78</v>
      </c>
      <c r="L747" s="98">
        <f>IF(I747="","",IF(J747="高",IF(K747="删除",I747*'模板使用说明&amp;基础参数'!$E$5*'模板使用说明&amp;基础参数'!$E$12,IF(K747="修改",I747*'模板使用说明&amp;基础参数'!$E$5*'模板使用说明&amp;基础参数'!$E$11,I747*'模板使用说明&amp;基础参数'!$E$5*'模板使用说明&amp;基础参数'!$E$10)),IF(J747="中",IF(K747="删除",I747*'模板使用说明&amp;基础参数'!$E$6*'模板使用说明&amp;基础参数'!$E$12,IF(K747="修改",I747*'模板使用说明&amp;基础参数'!$E$6*'模板使用说明&amp;基础参数'!$E$11,I747*'模板使用说明&amp;基础参数'!$E$6*'模板使用说明&amp;基础参数'!$E$10)),IF(K747="删除",I747*'模板使用说明&amp;基础参数'!$E$7*'模板使用说明&amp;基础参数'!$E$12,IF(K747="修改",I747*'模板使用说明&amp;基础参数'!$E$7*'模板使用说明&amp;基础参数'!$E$11,I747*'模板使用说明&amp;基础参数'!$E$7*'模板使用说明&amp;基础参数'!$E$10)))))</f>
        <v>1.06666666666667</v>
      </c>
      <c r="M747" s="95"/>
      <c r="N747" s="101"/>
      <c r="O747" s="101"/>
    </row>
    <row r="748" s="70" customFormat="1" ht="25" customHeight="1" spans="1:15">
      <c r="A748" s="93">
        <v>743</v>
      </c>
      <c r="B748" s="94" t="s">
        <v>72</v>
      </c>
      <c r="C748" s="90" t="s">
        <v>73</v>
      </c>
      <c r="D748" s="95" t="s">
        <v>74</v>
      </c>
      <c r="E748" s="95" t="s">
        <v>74</v>
      </c>
      <c r="F748" s="90" t="s">
        <v>1586</v>
      </c>
      <c r="G748" s="95" t="s">
        <v>1587</v>
      </c>
      <c r="H748" s="93" t="s">
        <v>84</v>
      </c>
      <c r="I748" s="96">
        <f>IF(H748="ILF",IF($C$1="预估功能点",'模板使用说明&amp;基础参数'!$E$15,7),IF(H748="EIF",IF($C$1="预估功能点",'模板使用说明&amp;基础参数'!$E$16,5),IF(H748="EI",IF($C$1="预估功能点",'模板使用说明&amp;基础参数'!$E$17,'模板使用说明&amp;基础参数'!$E$24),IF(H748="EO",IF($C$1="预估功能点",'模板使用说明&amp;基础参数'!$E$18,'模板使用说明&amp;基础参数'!$E$25),IF(H748="EQ",IF($C$1="预估功能点",'模板使用说明&amp;基础参数'!$E$19,'模板使用说明&amp;基础参数'!$E$26),"")))))</f>
        <v>4</v>
      </c>
      <c r="J748" s="97" t="s">
        <v>38</v>
      </c>
      <c r="K748" s="97" t="s">
        <v>78</v>
      </c>
      <c r="L748" s="98">
        <f>IF(I748="","",IF(J748="高",IF(K748="删除",I748*'模板使用说明&amp;基础参数'!$E$5*'模板使用说明&amp;基础参数'!$E$12,IF(K748="修改",I748*'模板使用说明&amp;基础参数'!$E$5*'模板使用说明&amp;基础参数'!$E$11,I748*'模板使用说明&amp;基础参数'!$E$5*'模板使用说明&amp;基础参数'!$E$10)),IF(J748="中",IF(K748="删除",I748*'模板使用说明&amp;基础参数'!$E$6*'模板使用说明&amp;基础参数'!$E$12,IF(K748="修改",I748*'模板使用说明&amp;基础参数'!$E$6*'模板使用说明&amp;基础参数'!$E$11,I748*'模板使用说明&amp;基础参数'!$E$6*'模板使用说明&amp;基础参数'!$E$10)),IF(K748="删除",I748*'模板使用说明&amp;基础参数'!$E$7*'模板使用说明&amp;基础参数'!$E$12,IF(K748="修改",I748*'模板使用说明&amp;基础参数'!$E$7*'模板使用说明&amp;基础参数'!$E$11,I748*'模板使用说明&amp;基础参数'!$E$7*'模板使用说明&amp;基础参数'!$E$10)))))</f>
        <v>1.06666666666667</v>
      </c>
      <c r="M748" s="95"/>
      <c r="N748" s="101"/>
      <c r="O748" s="101"/>
    </row>
    <row r="749" s="70" customFormat="1" ht="25" customHeight="1" spans="1:15">
      <c r="A749" s="93">
        <v>744</v>
      </c>
      <c r="B749" s="94" t="s">
        <v>72</v>
      </c>
      <c r="C749" s="90" t="s">
        <v>73</v>
      </c>
      <c r="D749" s="95" t="s">
        <v>74</v>
      </c>
      <c r="E749" s="95" t="s">
        <v>74</v>
      </c>
      <c r="F749" s="90" t="s">
        <v>1588</v>
      </c>
      <c r="G749" s="95" t="s">
        <v>1589</v>
      </c>
      <c r="H749" s="93" t="s">
        <v>84</v>
      </c>
      <c r="I749" s="96">
        <f>IF(H749="ILF",IF($C$1="预估功能点",'模板使用说明&amp;基础参数'!$E$15,7),IF(H749="EIF",IF($C$1="预估功能点",'模板使用说明&amp;基础参数'!$E$16,5),IF(H749="EI",IF($C$1="预估功能点",'模板使用说明&amp;基础参数'!$E$17,'模板使用说明&amp;基础参数'!$E$24),IF(H749="EO",IF($C$1="预估功能点",'模板使用说明&amp;基础参数'!$E$18,'模板使用说明&amp;基础参数'!$E$25),IF(H749="EQ",IF($C$1="预估功能点",'模板使用说明&amp;基础参数'!$E$19,'模板使用说明&amp;基础参数'!$E$26),"")))))</f>
        <v>4</v>
      </c>
      <c r="J749" s="97" t="s">
        <v>38</v>
      </c>
      <c r="K749" s="97" t="s">
        <v>78</v>
      </c>
      <c r="L749" s="98">
        <f>IF(I749="","",IF(J749="高",IF(K749="删除",I749*'模板使用说明&amp;基础参数'!$E$5*'模板使用说明&amp;基础参数'!$E$12,IF(K749="修改",I749*'模板使用说明&amp;基础参数'!$E$5*'模板使用说明&amp;基础参数'!$E$11,I749*'模板使用说明&amp;基础参数'!$E$5*'模板使用说明&amp;基础参数'!$E$10)),IF(J749="中",IF(K749="删除",I749*'模板使用说明&amp;基础参数'!$E$6*'模板使用说明&amp;基础参数'!$E$12,IF(K749="修改",I749*'模板使用说明&amp;基础参数'!$E$6*'模板使用说明&amp;基础参数'!$E$11,I749*'模板使用说明&amp;基础参数'!$E$6*'模板使用说明&amp;基础参数'!$E$10)),IF(K749="删除",I749*'模板使用说明&amp;基础参数'!$E$7*'模板使用说明&amp;基础参数'!$E$12,IF(K749="修改",I749*'模板使用说明&amp;基础参数'!$E$7*'模板使用说明&amp;基础参数'!$E$11,I749*'模板使用说明&amp;基础参数'!$E$7*'模板使用说明&amp;基础参数'!$E$10)))))</f>
        <v>1.06666666666667</v>
      </c>
      <c r="M749" s="95"/>
      <c r="N749" s="101"/>
      <c r="O749" s="101"/>
    </row>
    <row r="750" s="70" customFormat="1" ht="25" customHeight="1" spans="1:15">
      <c r="A750" s="93">
        <v>745</v>
      </c>
      <c r="B750" s="94" t="s">
        <v>72</v>
      </c>
      <c r="C750" s="90" t="s">
        <v>73</v>
      </c>
      <c r="D750" s="95" t="s">
        <v>74</v>
      </c>
      <c r="E750" s="95" t="s">
        <v>74</v>
      </c>
      <c r="F750" s="90" t="s">
        <v>1590</v>
      </c>
      <c r="G750" s="95" t="s">
        <v>1591</v>
      </c>
      <c r="H750" s="93" t="s">
        <v>84</v>
      </c>
      <c r="I750" s="96">
        <f>IF(H750="ILF",IF($C$1="预估功能点",'模板使用说明&amp;基础参数'!$E$15,7),IF(H750="EIF",IF($C$1="预估功能点",'模板使用说明&amp;基础参数'!$E$16,5),IF(H750="EI",IF($C$1="预估功能点",'模板使用说明&amp;基础参数'!$E$17,'模板使用说明&amp;基础参数'!$E$24),IF(H750="EO",IF($C$1="预估功能点",'模板使用说明&amp;基础参数'!$E$18,'模板使用说明&amp;基础参数'!$E$25),IF(H750="EQ",IF($C$1="预估功能点",'模板使用说明&amp;基础参数'!$E$19,'模板使用说明&amp;基础参数'!$E$26),"")))))</f>
        <v>4</v>
      </c>
      <c r="J750" s="97" t="s">
        <v>38</v>
      </c>
      <c r="K750" s="97" t="s">
        <v>78</v>
      </c>
      <c r="L750" s="98">
        <f>IF(I750="","",IF(J750="高",IF(K750="删除",I750*'模板使用说明&amp;基础参数'!$E$5*'模板使用说明&amp;基础参数'!$E$12,IF(K750="修改",I750*'模板使用说明&amp;基础参数'!$E$5*'模板使用说明&amp;基础参数'!$E$11,I750*'模板使用说明&amp;基础参数'!$E$5*'模板使用说明&amp;基础参数'!$E$10)),IF(J750="中",IF(K750="删除",I750*'模板使用说明&amp;基础参数'!$E$6*'模板使用说明&amp;基础参数'!$E$12,IF(K750="修改",I750*'模板使用说明&amp;基础参数'!$E$6*'模板使用说明&amp;基础参数'!$E$11,I750*'模板使用说明&amp;基础参数'!$E$6*'模板使用说明&amp;基础参数'!$E$10)),IF(K750="删除",I750*'模板使用说明&amp;基础参数'!$E$7*'模板使用说明&amp;基础参数'!$E$12,IF(K750="修改",I750*'模板使用说明&amp;基础参数'!$E$7*'模板使用说明&amp;基础参数'!$E$11,I750*'模板使用说明&amp;基础参数'!$E$7*'模板使用说明&amp;基础参数'!$E$10)))))</f>
        <v>1.06666666666667</v>
      </c>
      <c r="M750" s="95"/>
      <c r="N750" s="101"/>
      <c r="O750" s="101"/>
    </row>
    <row r="751" s="70" customFormat="1" ht="25" customHeight="1" spans="1:15">
      <c r="A751" s="93">
        <v>746</v>
      </c>
      <c r="B751" s="94" t="s">
        <v>72</v>
      </c>
      <c r="C751" s="90" t="s">
        <v>129</v>
      </c>
      <c r="D751" s="95" t="s">
        <v>130</v>
      </c>
      <c r="E751" s="95" t="s">
        <v>130</v>
      </c>
      <c r="F751" s="90" t="s">
        <v>1592</v>
      </c>
      <c r="G751" s="95" t="s">
        <v>1593</v>
      </c>
      <c r="H751" s="93" t="s">
        <v>77</v>
      </c>
      <c r="I751" s="96">
        <f>IF(H751="ILF",IF($C$1="预估功能点",'模板使用说明&amp;基础参数'!$E$15,7),IF(H751="EIF",IF($C$1="预估功能点",'模板使用说明&amp;基础参数'!$E$16,5),IF(H751="EI",IF($C$1="预估功能点",'模板使用说明&amp;基础参数'!$E$17,'模板使用说明&amp;基础参数'!$E$24),IF(H751="EO",IF($C$1="预估功能点",'模板使用说明&amp;基础参数'!$E$18,'模板使用说明&amp;基础参数'!$E$25),IF(H751="EQ",IF($C$1="预估功能点",'模板使用说明&amp;基础参数'!$E$19,'模板使用说明&amp;基础参数'!$E$26),"")))))</f>
        <v>7</v>
      </c>
      <c r="J751" s="97" t="s">
        <v>38</v>
      </c>
      <c r="K751" s="97" t="s">
        <v>78</v>
      </c>
      <c r="L751" s="98">
        <f>IF(I751="","",IF(J751="高",IF(K751="删除",I751*'模板使用说明&amp;基础参数'!$E$5*'模板使用说明&amp;基础参数'!$E$12,IF(K751="修改",I751*'模板使用说明&amp;基础参数'!$E$5*'模板使用说明&amp;基础参数'!$E$11,I751*'模板使用说明&amp;基础参数'!$E$5*'模板使用说明&amp;基础参数'!$E$10)),IF(J751="中",IF(K751="删除",I751*'模板使用说明&amp;基础参数'!$E$6*'模板使用说明&amp;基础参数'!$E$12,IF(K751="修改",I751*'模板使用说明&amp;基础参数'!$E$6*'模板使用说明&amp;基础参数'!$E$11,I751*'模板使用说明&amp;基础参数'!$E$6*'模板使用说明&amp;基础参数'!$E$10)),IF(K751="删除",I751*'模板使用说明&amp;基础参数'!$E$7*'模板使用说明&amp;基础参数'!$E$12,IF(K751="修改",I751*'模板使用说明&amp;基础参数'!$E$7*'模板使用说明&amp;基础参数'!$E$11,I751*'模板使用说明&amp;基础参数'!$E$7*'模板使用说明&amp;基础参数'!$E$10)))))</f>
        <v>1.86666666666666</v>
      </c>
      <c r="M751" s="95"/>
      <c r="N751" s="101"/>
      <c r="O751" s="101"/>
    </row>
    <row r="752" s="70" customFormat="1" ht="25" customHeight="1" spans="1:15">
      <c r="A752" s="93">
        <v>747</v>
      </c>
      <c r="B752" s="94" t="s">
        <v>72</v>
      </c>
      <c r="C752" s="90" t="s">
        <v>129</v>
      </c>
      <c r="D752" s="95" t="s">
        <v>130</v>
      </c>
      <c r="E752" s="95" t="s">
        <v>130</v>
      </c>
      <c r="F752" s="90" t="s">
        <v>1594</v>
      </c>
      <c r="G752" s="95" t="s">
        <v>1595</v>
      </c>
      <c r="H752" s="93" t="s">
        <v>135</v>
      </c>
      <c r="I752" s="96">
        <f>IF(H752="ILF",IF($C$1="预估功能点",'模板使用说明&amp;基础参数'!$E$15,7),IF(H752="EIF",IF($C$1="预估功能点",'模板使用说明&amp;基础参数'!$E$16,5),IF(H752="EI",IF($C$1="预估功能点",'模板使用说明&amp;基础参数'!$E$17,'模板使用说明&amp;基础参数'!$E$24),IF(H752="EO",IF($C$1="预估功能点",'模板使用说明&amp;基础参数'!$E$18,'模板使用说明&amp;基础参数'!$E$25),IF(H752="EQ",IF($C$1="预估功能点",'模板使用说明&amp;基础参数'!$E$19,'模板使用说明&amp;基础参数'!$E$26),"")))))</f>
        <v>5</v>
      </c>
      <c r="J752" s="97" t="s">
        <v>38</v>
      </c>
      <c r="K752" s="97" t="s">
        <v>78</v>
      </c>
      <c r="L752" s="98">
        <f>IF(I752="","",IF(J752="高",IF(K752="删除",I752*'模板使用说明&amp;基础参数'!$E$5*'模板使用说明&amp;基础参数'!$E$12,IF(K752="修改",I752*'模板使用说明&amp;基础参数'!$E$5*'模板使用说明&amp;基础参数'!$E$11,I752*'模板使用说明&amp;基础参数'!$E$5*'模板使用说明&amp;基础参数'!$E$10)),IF(J752="中",IF(K752="删除",I752*'模板使用说明&amp;基础参数'!$E$6*'模板使用说明&amp;基础参数'!$E$12,IF(K752="修改",I752*'模板使用说明&amp;基础参数'!$E$6*'模板使用说明&amp;基础参数'!$E$11,I752*'模板使用说明&amp;基础参数'!$E$6*'模板使用说明&amp;基础参数'!$E$10)),IF(K752="删除",I752*'模板使用说明&amp;基础参数'!$E$7*'模板使用说明&amp;基础参数'!$E$12,IF(K752="修改",I752*'模板使用说明&amp;基础参数'!$E$7*'模板使用说明&amp;基础参数'!$E$11,I752*'模板使用说明&amp;基础参数'!$E$7*'模板使用说明&amp;基础参数'!$E$10)))))</f>
        <v>1.33333333333333</v>
      </c>
      <c r="M752" s="95"/>
      <c r="N752" s="101"/>
      <c r="O752" s="101"/>
    </row>
    <row r="753" s="70" customFormat="1" ht="25" customHeight="1" spans="1:15">
      <c r="A753" s="93">
        <v>748</v>
      </c>
      <c r="B753" s="94" t="s">
        <v>72</v>
      </c>
      <c r="C753" s="90" t="s">
        <v>129</v>
      </c>
      <c r="D753" s="95" t="s">
        <v>130</v>
      </c>
      <c r="E753" s="95" t="s">
        <v>130</v>
      </c>
      <c r="F753" s="90" t="s">
        <v>1596</v>
      </c>
      <c r="G753" s="95" t="s">
        <v>1597</v>
      </c>
      <c r="H753" s="93" t="s">
        <v>81</v>
      </c>
      <c r="I753" s="96">
        <f>IF(H753="ILF",IF($C$1="预估功能点",'模板使用说明&amp;基础参数'!$E$15,7),IF(H753="EIF",IF($C$1="预估功能点",'模板使用说明&amp;基础参数'!$E$16,5),IF(H753="EI",IF($C$1="预估功能点",'模板使用说明&amp;基础参数'!$E$17,'模板使用说明&amp;基础参数'!$E$24),IF(H753="EO",IF($C$1="预估功能点",'模板使用说明&amp;基础参数'!$E$18,'模板使用说明&amp;基础参数'!$E$25),IF(H753="EQ",IF($C$1="预估功能点",'模板使用说明&amp;基础参数'!$E$19,'模板使用说明&amp;基础参数'!$E$26),"")))))</f>
        <v>4</v>
      </c>
      <c r="J753" s="97" t="s">
        <v>38</v>
      </c>
      <c r="K753" s="97" t="s">
        <v>78</v>
      </c>
      <c r="L753" s="98">
        <f>IF(I753="","",IF(J753="高",IF(K753="删除",I753*'模板使用说明&amp;基础参数'!$E$5*'模板使用说明&amp;基础参数'!$E$12,IF(K753="修改",I753*'模板使用说明&amp;基础参数'!$E$5*'模板使用说明&amp;基础参数'!$E$11,I753*'模板使用说明&amp;基础参数'!$E$5*'模板使用说明&amp;基础参数'!$E$10)),IF(J753="中",IF(K753="删除",I753*'模板使用说明&amp;基础参数'!$E$6*'模板使用说明&amp;基础参数'!$E$12,IF(K753="修改",I753*'模板使用说明&amp;基础参数'!$E$6*'模板使用说明&amp;基础参数'!$E$11,I753*'模板使用说明&amp;基础参数'!$E$6*'模板使用说明&amp;基础参数'!$E$10)),IF(K753="删除",I753*'模板使用说明&amp;基础参数'!$E$7*'模板使用说明&amp;基础参数'!$E$12,IF(K753="修改",I753*'模板使用说明&amp;基础参数'!$E$7*'模板使用说明&amp;基础参数'!$E$11,I753*'模板使用说明&amp;基础参数'!$E$7*'模板使用说明&amp;基础参数'!$E$10)))))</f>
        <v>1.06666666666667</v>
      </c>
      <c r="M753" s="95"/>
      <c r="N753" s="101"/>
      <c r="O753" s="101"/>
    </row>
    <row r="754" s="70" customFormat="1" ht="25" customHeight="1" spans="1:15">
      <c r="A754" s="93">
        <v>749</v>
      </c>
      <c r="B754" s="94" t="s">
        <v>72</v>
      </c>
      <c r="C754" s="90" t="s">
        <v>129</v>
      </c>
      <c r="D754" s="95" t="s">
        <v>130</v>
      </c>
      <c r="E754" s="95" t="s">
        <v>130</v>
      </c>
      <c r="F754" s="90" t="s">
        <v>1598</v>
      </c>
      <c r="G754" s="95" t="s">
        <v>1599</v>
      </c>
      <c r="H754" s="93" t="s">
        <v>84</v>
      </c>
      <c r="I754" s="96">
        <f>IF(H754="ILF",IF($C$1="预估功能点",'模板使用说明&amp;基础参数'!$E$15,7),IF(H754="EIF",IF($C$1="预估功能点",'模板使用说明&amp;基础参数'!$E$16,5),IF(H754="EI",IF($C$1="预估功能点",'模板使用说明&amp;基础参数'!$E$17,'模板使用说明&amp;基础参数'!$E$24),IF(H754="EO",IF($C$1="预估功能点",'模板使用说明&amp;基础参数'!$E$18,'模板使用说明&amp;基础参数'!$E$25),IF(H754="EQ",IF($C$1="预估功能点",'模板使用说明&amp;基础参数'!$E$19,'模板使用说明&amp;基础参数'!$E$26),"")))))</f>
        <v>4</v>
      </c>
      <c r="J754" s="97" t="s">
        <v>38</v>
      </c>
      <c r="K754" s="97" t="s">
        <v>78</v>
      </c>
      <c r="L754" s="98">
        <f>IF(I754="","",IF(J754="高",IF(K754="删除",I754*'模板使用说明&amp;基础参数'!$E$5*'模板使用说明&amp;基础参数'!$E$12,IF(K754="修改",I754*'模板使用说明&amp;基础参数'!$E$5*'模板使用说明&amp;基础参数'!$E$11,I754*'模板使用说明&amp;基础参数'!$E$5*'模板使用说明&amp;基础参数'!$E$10)),IF(J754="中",IF(K754="删除",I754*'模板使用说明&amp;基础参数'!$E$6*'模板使用说明&amp;基础参数'!$E$12,IF(K754="修改",I754*'模板使用说明&amp;基础参数'!$E$6*'模板使用说明&amp;基础参数'!$E$11,I754*'模板使用说明&amp;基础参数'!$E$6*'模板使用说明&amp;基础参数'!$E$10)),IF(K754="删除",I754*'模板使用说明&amp;基础参数'!$E$7*'模板使用说明&amp;基础参数'!$E$12,IF(K754="修改",I754*'模板使用说明&amp;基础参数'!$E$7*'模板使用说明&amp;基础参数'!$E$11,I754*'模板使用说明&amp;基础参数'!$E$7*'模板使用说明&amp;基础参数'!$E$10)))))</f>
        <v>1.06666666666667</v>
      </c>
      <c r="M754" s="95"/>
      <c r="N754" s="101"/>
      <c r="O754" s="101"/>
    </row>
    <row r="755" s="70" customFormat="1" ht="25" customHeight="1" spans="1:15">
      <c r="A755" s="93">
        <v>750</v>
      </c>
      <c r="B755" s="94" t="s">
        <v>72</v>
      </c>
      <c r="C755" s="90" t="s">
        <v>129</v>
      </c>
      <c r="D755" s="95" t="s">
        <v>130</v>
      </c>
      <c r="E755" s="95" t="s">
        <v>130</v>
      </c>
      <c r="F755" s="90" t="s">
        <v>1600</v>
      </c>
      <c r="G755" s="95" t="s">
        <v>1601</v>
      </c>
      <c r="H755" s="93" t="s">
        <v>84</v>
      </c>
      <c r="I755" s="96">
        <f>IF(H755="ILF",IF($C$1="预估功能点",'模板使用说明&amp;基础参数'!$E$15,7),IF(H755="EIF",IF($C$1="预估功能点",'模板使用说明&amp;基础参数'!$E$16,5),IF(H755="EI",IF($C$1="预估功能点",'模板使用说明&amp;基础参数'!$E$17,'模板使用说明&amp;基础参数'!$E$24),IF(H755="EO",IF($C$1="预估功能点",'模板使用说明&amp;基础参数'!$E$18,'模板使用说明&amp;基础参数'!$E$25),IF(H755="EQ",IF($C$1="预估功能点",'模板使用说明&amp;基础参数'!$E$19,'模板使用说明&amp;基础参数'!$E$26),"")))))</f>
        <v>4</v>
      </c>
      <c r="J755" s="97" t="s">
        <v>38</v>
      </c>
      <c r="K755" s="97" t="s">
        <v>78</v>
      </c>
      <c r="L755" s="98">
        <f>IF(I755="","",IF(J755="高",IF(K755="删除",I755*'模板使用说明&amp;基础参数'!$E$5*'模板使用说明&amp;基础参数'!$E$12,IF(K755="修改",I755*'模板使用说明&amp;基础参数'!$E$5*'模板使用说明&amp;基础参数'!$E$11,I755*'模板使用说明&amp;基础参数'!$E$5*'模板使用说明&amp;基础参数'!$E$10)),IF(J755="中",IF(K755="删除",I755*'模板使用说明&amp;基础参数'!$E$6*'模板使用说明&amp;基础参数'!$E$12,IF(K755="修改",I755*'模板使用说明&amp;基础参数'!$E$6*'模板使用说明&amp;基础参数'!$E$11,I755*'模板使用说明&amp;基础参数'!$E$6*'模板使用说明&amp;基础参数'!$E$10)),IF(K755="删除",I755*'模板使用说明&amp;基础参数'!$E$7*'模板使用说明&amp;基础参数'!$E$12,IF(K755="修改",I755*'模板使用说明&amp;基础参数'!$E$7*'模板使用说明&amp;基础参数'!$E$11,I755*'模板使用说明&amp;基础参数'!$E$7*'模板使用说明&amp;基础参数'!$E$10)))))</f>
        <v>1.06666666666667</v>
      </c>
      <c r="M755" s="95"/>
      <c r="N755" s="101"/>
      <c r="O755" s="101"/>
    </row>
    <row r="756" s="70" customFormat="1" ht="25" customHeight="1" spans="1:15">
      <c r="A756" s="93">
        <v>751</v>
      </c>
      <c r="B756" s="94" t="s">
        <v>72</v>
      </c>
      <c r="C756" s="90" t="s">
        <v>129</v>
      </c>
      <c r="D756" s="95" t="s">
        <v>130</v>
      </c>
      <c r="E756" s="95" t="s">
        <v>130</v>
      </c>
      <c r="F756" s="90" t="s">
        <v>1602</v>
      </c>
      <c r="G756" s="95" t="s">
        <v>1603</v>
      </c>
      <c r="H756" s="93" t="s">
        <v>84</v>
      </c>
      <c r="I756" s="96">
        <f>IF(H756="ILF",IF($C$1="预估功能点",'模板使用说明&amp;基础参数'!$E$15,7),IF(H756="EIF",IF($C$1="预估功能点",'模板使用说明&amp;基础参数'!$E$16,5),IF(H756="EI",IF($C$1="预估功能点",'模板使用说明&amp;基础参数'!$E$17,'模板使用说明&amp;基础参数'!$E$24),IF(H756="EO",IF($C$1="预估功能点",'模板使用说明&amp;基础参数'!$E$18,'模板使用说明&amp;基础参数'!$E$25),IF(H756="EQ",IF($C$1="预估功能点",'模板使用说明&amp;基础参数'!$E$19,'模板使用说明&amp;基础参数'!$E$26),"")))))</f>
        <v>4</v>
      </c>
      <c r="J756" s="97" t="s">
        <v>38</v>
      </c>
      <c r="K756" s="97" t="s">
        <v>78</v>
      </c>
      <c r="L756" s="98">
        <f>IF(I756="","",IF(J756="高",IF(K756="删除",I756*'模板使用说明&amp;基础参数'!$E$5*'模板使用说明&amp;基础参数'!$E$12,IF(K756="修改",I756*'模板使用说明&amp;基础参数'!$E$5*'模板使用说明&amp;基础参数'!$E$11,I756*'模板使用说明&amp;基础参数'!$E$5*'模板使用说明&amp;基础参数'!$E$10)),IF(J756="中",IF(K756="删除",I756*'模板使用说明&amp;基础参数'!$E$6*'模板使用说明&amp;基础参数'!$E$12,IF(K756="修改",I756*'模板使用说明&amp;基础参数'!$E$6*'模板使用说明&amp;基础参数'!$E$11,I756*'模板使用说明&amp;基础参数'!$E$6*'模板使用说明&amp;基础参数'!$E$10)),IF(K756="删除",I756*'模板使用说明&amp;基础参数'!$E$7*'模板使用说明&amp;基础参数'!$E$12,IF(K756="修改",I756*'模板使用说明&amp;基础参数'!$E$7*'模板使用说明&amp;基础参数'!$E$11,I756*'模板使用说明&amp;基础参数'!$E$7*'模板使用说明&amp;基础参数'!$E$10)))))</f>
        <v>1.06666666666667</v>
      </c>
      <c r="M756" s="95"/>
      <c r="N756" s="101"/>
      <c r="O756" s="101"/>
    </row>
    <row r="757" s="70" customFormat="1" ht="25" customHeight="1" spans="1:15">
      <c r="A757" s="93">
        <v>752</v>
      </c>
      <c r="B757" s="94" t="s">
        <v>72</v>
      </c>
      <c r="C757" s="95" t="s">
        <v>144</v>
      </c>
      <c r="D757" s="95" t="s">
        <v>145</v>
      </c>
      <c r="E757" s="95" t="s">
        <v>145</v>
      </c>
      <c r="F757" s="95" t="s">
        <v>1604</v>
      </c>
      <c r="G757" s="95" t="s">
        <v>1605</v>
      </c>
      <c r="H757" s="93" t="s">
        <v>77</v>
      </c>
      <c r="I757" s="96">
        <f>IF(H757="ILF",IF($C$1="预估功能点",'模板使用说明&amp;基础参数'!$E$15,7),IF(H757="EIF",IF($C$1="预估功能点",'模板使用说明&amp;基础参数'!$E$16,5),IF(H757="EI",IF($C$1="预估功能点",'模板使用说明&amp;基础参数'!$E$17,'模板使用说明&amp;基础参数'!$E$24),IF(H757="EO",IF($C$1="预估功能点",'模板使用说明&amp;基础参数'!$E$18,'模板使用说明&amp;基础参数'!$E$25),IF(H757="EQ",IF($C$1="预估功能点",'模板使用说明&amp;基础参数'!$E$19,'模板使用说明&amp;基础参数'!$E$26),"")))))</f>
        <v>7</v>
      </c>
      <c r="J757" s="97" t="s">
        <v>38</v>
      </c>
      <c r="K757" s="97" t="s">
        <v>78</v>
      </c>
      <c r="L757" s="98">
        <f>IF(I757="","",IF(J757="高",IF(K757="删除",I757*'模板使用说明&amp;基础参数'!$E$5*'模板使用说明&amp;基础参数'!$E$12,IF(K757="修改",I757*'模板使用说明&amp;基础参数'!$E$5*'模板使用说明&amp;基础参数'!$E$11,I757*'模板使用说明&amp;基础参数'!$E$5*'模板使用说明&amp;基础参数'!$E$10)),IF(J757="中",IF(K757="删除",I757*'模板使用说明&amp;基础参数'!$E$6*'模板使用说明&amp;基础参数'!$E$12,IF(K757="修改",I757*'模板使用说明&amp;基础参数'!$E$6*'模板使用说明&amp;基础参数'!$E$11,I757*'模板使用说明&amp;基础参数'!$E$6*'模板使用说明&amp;基础参数'!$E$10)),IF(K757="删除",I757*'模板使用说明&amp;基础参数'!$E$7*'模板使用说明&amp;基础参数'!$E$12,IF(K757="修改",I757*'模板使用说明&amp;基础参数'!$E$7*'模板使用说明&amp;基础参数'!$E$11,I757*'模板使用说明&amp;基础参数'!$E$7*'模板使用说明&amp;基础参数'!$E$10)))))</f>
        <v>1.86666666666666</v>
      </c>
      <c r="M757" s="95"/>
      <c r="N757" s="99"/>
      <c r="O757" s="100"/>
    </row>
    <row r="758" s="70" customFormat="1" ht="25" customHeight="1" spans="1:15">
      <c r="A758" s="93">
        <v>753</v>
      </c>
      <c r="B758" s="94" t="s">
        <v>72</v>
      </c>
      <c r="C758" s="95" t="s">
        <v>144</v>
      </c>
      <c r="D758" s="95" t="s">
        <v>145</v>
      </c>
      <c r="E758" s="95" t="s">
        <v>145</v>
      </c>
      <c r="F758" s="95" t="s">
        <v>1606</v>
      </c>
      <c r="G758" s="95" t="s">
        <v>1607</v>
      </c>
      <c r="H758" s="93" t="s">
        <v>81</v>
      </c>
      <c r="I758" s="96">
        <f>IF(H758="ILF",IF($C$1="预估功能点",'模板使用说明&amp;基础参数'!$E$15,7),IF(H758="EIF",IF($C$1="预估功能点",'模板使用说明&amp;基础参数'!$E$16,5),IF(H758="EI",IF($C$1="预估功能点",'模板使用说明&amp;基础参数'!$E$17,'模板使用说明&amp;基础参数'!$E$24),IF(H758="EO",IF($C$1="预估功能点",'模板使用说明&amp;基础参数'!$E$18,'模板使用说明&amp;基础参数'!$E$25),IF(H758="EQ",IF($C$1="预估功能点",'模板使用说明&amp;基础参数'!$E$19,'模板使用说明&amp;基础参数'!$E$26),"")))))</f>
        <v>4</v>
      </c>
      <c r="J758" s="97" t="s">
        <v>38</v>
      </c>
      <c r="K758" s="97" t="s">
        <v>78</v>
      </c>
      <c r="L758" s="98">
        <f>IF(I758="","",IF(J758="高",IF(K758="删除",I758*'模板使用说明&amp;基础参数'!$E$5*'模板使用说明&amp;基础参数'!$E$12,IF(K758="修改",I758*'模板使用说明&amp;基础参数'!$E$5*'模板使用说明&amp;基础参数'!$E$11,I758*'模板使用说明&amp;基础参数'!$E$5*'模板使用说明&amp;基础参数'!$E$10)),IF(J758="中",IF(K758="删除",I758*'模板使用说明&amp;基础参数'!$E$6*'模板使用说明&amp;基础参数'!$E$12,IF(K758="修改",I758*'模板使用说明&amp;基础参数'!$E$6*'模板使用说明&amp;基础参数'!$E$11,I758*'模板使用说明&amp;基础参数'!$E$6*'模板使用说明&amp;基础参数'!$E$10)),IF(K758="删除",I758*'模板使用说明&amp;基础参数'!$E$7*'模板使用说明&amp;基础参数'!$E$12,IF(K758="修改",I758*'模板使用说明&amp;基础参数'!$E$7*'模板使用说明&amp;基础参数'!$E$11,I758*'模板使用说明&amp;基础参数'!$E$7*'模板使用说明&amp;基础参数'!$E$10)))))</f>
        <v>1.06666666666667</v>
      </c>
      <c r="M758" s="95"/>
      <c r="N758" s="99"/>
      <c r="O758" s="100"/>
    </row>
    <row r="759" s="70" customFormat="1" ht="25" customHeight="1" spans="1:15">
      <c r="A759" s="93">
        <v>754</v>
      </c>
      <c r="B759" s="94" t="s">
        <v>72</v>
      </c>
      <c r="C759" s="95" t="s">
        <v>144</v>
      </c>
      <c r="D759" s="95" t="s">
        <v>145</v>
      </c>
      <c r="E759" s="95" t="s">
        <v>145</v>
      </c>
      <c r="F759" s="95" t="s">
        <v>1608</v>
      </c>
      <c r="G759" s="95" t="s">
        <v>1609</v>
      </c>
      <c r="H759" s="93" t="s">
        <v>84</v>
      </c>
      <c r="I759" s="96">
        <f>IF(H759="ILF",IF($C$1="预估功能点",'模板使用说明&amp;基础参数'!$E$15,7),IF(H759="EIF",IF($C$1="预估功能点",'模板使用说明&amp;基础参数'!$E$16,5),IF(H759="EI",IF($C$1="预估功能点",'模板使用说明&amp;基础参数'!$E$17,'模板使用说明&amp;基础参数'!$E$24),IF(H759="EO",IF($C$1="预估功能点",'模板使用说明&amp;基础参数'!$E$18,'模板使用说明&amp;基础参数'!$E$25),IF(H759="EQ",IF($C$1="预估功能点",'模板使用说明&amp;基础参数'!$E$19,'模板使用说明&amp;基础参数'!$E$26),"")))))</f>
        <v>4</v>
      </c>
      <c r="J759" s="97" t="s">
        <v>38</v>
      </c>
      <c r="K759" s="97" t="s">
        <v>78</v>
      </c>
      <c r="L759" s="98">
        <f>IF(I759="","",IF(J759="高",IF(K759="删除",I759*'模板使用说明&amp;基础参数'!$E$5*'模板使用说明&amp;基础参数'!$E$12,IF(K759="修改",I759*'模板使用说明&amp;基础参数'!$E$5*'模板使用说明&amp;基础参数'!$E$11,I759*'模板使用说明&amp;基础参数'!$E$5*'模板使用说明&amp;基础参数'!$E$10)),IF(J759="中",IF(K759="删除",I759*'模板使用说明&amp;基础参数'!$E$6*'模板使用说明&amp;基础参数'!$E$12,IF(K759="修改",I759*'模板使用说明&amp;基础参数'!$E$6*'模板使用说明&amp;基础参数'!$E$11,I759*'模板使用说明&amp;基础参数'!$E$6*'模板使用说明&amp;基础参数'!$E$10)),IF(K759="删除",I759*'模板使用说明&amp;基础参数'!$E$7*'模板使用说明&amp;基础参数'!$E$12,IF(K759="修改",I759*'模板使用说明&amp;基础参数'!$E$7*'模板使用说明&amp;基础参数'!$E$11,I759*'模板使用说明&amp;基础参数'!$E$7*'模板使用说明&amp;基础参数'!$E$10)))))</f>
        <v>1.06666666666667</v>
      </c>
      <c r="M759" s="95"/>
      <c r="N759" s="99"/>
      <c r="O759" s="100"/>
    </row>
    <row r="760" s="70" customFormat="1" ht="25" customHeight="1" spans="1:15">
      <c r="A760" s="93">
        <v>755</v>
      </c>
      <c r="B760" s="94" t="s">
        <v>72</v>
      </c>
      <c r="C760" s="95" t="s">
        <v>144</v>
      </c>
      <c r="D760" s="95" t="s">
        <v>145</v>
      </c>
      <c r="E760" s="95" t="s">
        <v>145</v>
      </c>
      <c r="F760" s="95" t="s">
        <v>1610</v>
      </c>
      <c r="G760" s="95" t="s">
        <v>1611</v>
      </c>
      <c r="H760" s="93" t="s">
        <v>84</v>
      </c>
      <c r="I760" s="96">
        <f>IF(H760="ILF",IF($C$1="预估功能点",'模板使用说明&amp;基础参数'!$E$15,7),IF(H760="EIF",IF($C$1="预估功能点",'模板使用说明&amp;基础参数'!$E$16,5),IF(H760="EI",IF($C$1="预估功能点",'模板使用说明&amp;基础参数'!$E$17,'模板使用说明&amp;基础参数'!$E$24),IF(H760="EO",IF($C$1="预估功能点",'模板使用说明&amp;基础参数'!$E$18,'模板使用说明&amp;基础参数'!$E$25),IF(H760="EQ",IF($C$1="预估功能点",'模板使用说明&amp;基础参数'!$E$19,'模板使用说明&amp;基础参数'!$E$26),"")))))</f>
        <v>4</v>
      </c>
      <c r="J760" s="97" t="s">
        <v>38</v>
      </c>
      <c r="K760" s="97" t="s">
        <v>78</v>
      </c>
      <c r="L760" s="98">
        <f>IF(I760="","",IF(J760="高",IF(K760="删除",I760*'模板使用说明&amp;基础参数'!$E$5*'模板使用说明&amp;基础参数'!$E$12,IF(K760="修改",I760*'模板使用说明&amp;基础参数'!$E$5*'模板使用说明&amp;基础参数'!$E$11,I760*'模板使用说明&amp;基础参数'!$E$5*'模板使用说明&amp;基础参数'!$E$10)),IF(J760="中",IF(K760="删除",I760*'模板使用说明&amp;基础参数'!$E$6*'模板使用说明&amp;基础参数'!$E$12,IF(K760="修改",I760*'模板使用说明&amp;基础参数'!$E$6*'模板使用说明&amp;基础参数'!$E$11,I760*'模板使用说明&amp;基础参数'!$E$6*'模板使用说明&amp;基础参数'!$E$10)),IF(K760="删除",I760*'模板使用说明&amp;基础参数'!$E$7*'模板使用说明&amp;基础参数'!$E$12,IF(K760="修改",I760*'模板使用说明&amp;基础参数'!$E$7*'模板使用说明&amp;基础参数'!$E$11,I760*'模板使用说明&amp;基础参数'!$E$7*'模板使用说明&amp;基础参数'!$E$10)))))</f>
        <v>1.06666666666667</v>
      </c>
      <c r="M760" s="95"/>
      <c r="N760" s="99"/>
      <c r="O760" s="100"/>
    </row>
    <row r="761" s="70" customFormat="1" ht="25" customHeight="1" spans="1:15">
      <c r="A761" s="93">
        <v>756</v>
      </c>
      <c r="B761" s="94" t="s">
        <v>72</v>
      </c>
      <c r="C761" s="95" t="s">
        <v>154</v>
      </c>
      <c r="D761" s="95" t="s">
        <v>155</v>
      </c>
      <c r="E761" s="95" t="s">
        <v>155</v>
      </c>
      <c r="F761" s="95" t="s">
        <v>1612</v>
      </c>
      <c r="G761" s="95" t="s">
        <v>1613</v>
      </c>
      <c r="H761" s="93" t="s">
        <v>77</v>
      </c>
      <c r="I761" s="96">
        <f>IF(H761="ILF",IF($C$1="预估功能点",'模板使用说明&amp;基础参数'!$E$15,7),IF(H761="EIF",IF($C$1="预估功能点",'模板使用说明&amp;基础参数'!$E$16,5),IF(H761="EI",IF($C$1="预估功能点",'模板使用说明&amp;基础参数'!$E$17,'模板使用说明&amp;基础参数'!$E$24),IF(H761="EO",IF($C$1="预估功能点",'模板使用说明&amp;基础参数'!$E$18,'模板使用说明&amp;基础参数'!$E$25),IF(H761="EQ",IF($C$1="预估功能点",'模板使用说明&amp;基础参数'!$E$19,'模板使用说明&amp;基础参数'!$E$26),"")))))</f>
        <v>7</v>
      </c>
      <c r="J761" s="97" t="s">
        <v>38</v>
      </c>
      <c r="K761" s="97" t="s">
        <v>78</v>
      </c>
      <c r="L761" s="98">
        <f>IF(I761="","",IF(J761="高",IF(K761="删除",I761*'模板使用说明&amp;基础参数'!$E$5*'模板使用说明&amp;基础参数'!$E$12,IF(K761="修改",I761*'模板使用说明&amp;基础参数'!$E$5*'模板使用说明&amp;基础参数'!$E$11,I761*'模板使用说明&amp;基础参数'!$E$5*'模板使用说明&amp;基础参数'!$E$10)),IF(J761="中",IF(K761="删除",I761*'模板使用说明&amp;基础参数'!$E$6*'模板使用说明&amp;基础参数'!$E$12,IF(K761="修改",I761*'模板使用说明&amp;基础参数'!$E$6*'模板使用说明&amp;基础参数'!$E$11,I761*'模板使用说明&amp;基础参数'!$E$6*'模板使用说明&amp;基础参数'!$E$10)),IF(K761="删除",I761*'模板使用说明&amp;基础参数'!$E$7*'模板使用说明&amp;基础参数'!$E$12,IF(K761="修改",I761*'模板使用说明&amp;基础参数'!$E$7*'模板使用说明&amp;基础参数'!$E$11,I761*'模板使用说明&amp;基础参数'!$E$7*'模板使用说明&amp;基础参数'!$E$10)))))</f>
        <v>1.86666666666666</v>
      </c>
      <c r="M761" s="95"/>
      <c r="N761" s="99"/>
      <c r="O761" s="100"/>
    </row>
    <row r="762" s="70" customFormat="1" ht="25" customHeight="1" spans="1:15">
      <c r="A762" s="93">
        <v>757</v>
      </c>
      <c r="B762" s="94" t="s">
        <v>72</v>
      </c>
      <c r="C762" s="95" t="s">
        <v>154</v>
      </c>
      <c r="D762" s="95" t="s">
        <v>155</v>
      </c>
      <c r="E762" s="95" t="s">
        <v>155</v>
      </c>
      <c r="F762" s="95" t="s">
        <v>1614</v>
      </c>
      <c r="G762" s="95" t="s">
        <v>1615</v>
      </c>
      <c r="H762" s="93" t="s">
        <v>81</v>
      </c>
      <c r="I762" s="96">
        <f>IF(H762="ILF",IF($C$1="预估功能点",'模板使用说明&amp;基础参数'!$E$15,7),IF(H762="EIF",IF($C$1="预估功能点",'模板使用说明&amp;基础参数'!$E$16,5),IF(H762="EI",IF($C$1="预估功能点",'模板使用说明&amp;基础参数'!$E$17,'模板使用说明&amp;基础参数'!$E$24),IF(H762="EO",IF($C$1="预估功能点",'模板使用说明&amp;基础参数'!$E$18,'模板使用说明&amp;基础参数'!$E$25),IF(H762="EQ",IF($C$1="预估功能点",'模板使用说明&amp;基础参数'!$E$19,'模板使用说明&amp;基础参数'!$E$26),"")))))</f>
        <v>4</v>
      </c>
      <c r="J762" s="97" t="s">
        <v>38</v>
      </c>
      <c r="K762" s="97" t="s">
        <v>78</v>
      </c>
      <c r="L762" s="98">
        <f>IF(I762="","",IF(J762="高",IF(K762="删除",I762*'模板使用说明&amp;基础参数'!$E$5*'模板使用说明&amp;基础参数'!$E$12,IF(K762="修改",I762*'模板使用说明&amp;基础参数'!$E$5*'模板使用说明&amp;基础参数'!$E$11,I762*'模板使用说明&amp;基础参数'!$E$5*'模板使用说明&amp;基础参数'!$E$10)),IF(J762="中",IF(K762="删除",I762*'模板使用说明&amp;基础参数'!$E$6*'模板使用说明&amp;基础参数'!$E$12,IF(K762="修改",I762*'模板使用说明&amp;基础参数'!$E$6*'模板使用说明&amp;基础参数'!$E$11,I762*'模板使用说明&amp;基础参数'!$E$6*'模板使用说明&amp;基础参数'!$E$10)),IF(K762="删除",I762*'模板使用说明&amp;基础参数'!$E$7*'模板使用说明&amp;基础参数'!$E$12,IF(K762="修改",I762*'模板使用说明&amp;基础参数'!$E$7*'模板使用说明&amp;基础参数'!$E$11,I762*'模板使用说明&amp;基础参数'!$E$7*'模板使用说明&amp;基础参数'!$E$10)))))</f>
        <v>1.06666666666667</v>
      </c>
      <c r="M762" s="95"/>
      <c r="N762" s="99"/>
      <c r="O762" s="100"/>
    </row>
    <row r="763" s="70" customFormat="1" ht="25" customHeight="1" spans="1:15">
      <c r="A763" s="93">
        <v>758</v>
      </c>
      <c r="B763" s="94" t="s">
        <v>72</v>
      </c>
      <c r="C763" s="95" t="s">
        <v>154</v>
      </c>
      <c r="D763" s="95" t="s">
        <v>155</v>
      </c>
      <c r="E763" s="95" t="s">
        <v>155</v>
      </c>
      <c r="F763" s="95" t="s">
        <v>1616</v>
      </c>
      <c r="G763" s="95" t="s">
        <v>1617</v>
      </c>
      <c r="H763" s="93" t="s">
        <v>84</v>
      </c>
      <c r="I763" s="96">
        <f>IF(H763="ILF",IF($C$1="预估功能点",'模板使用说明&amp;基础参数'!$E$15,7),IF(H763="EIF",IF($C$1="预估功能点",'模板使用说明&amp;基础参数'!$E$16,5),IF(H763="EI",IF($C$1="预估功能点",'模板使用说明&amp;基础参数'!$E$17,'模板使用说明&amp;基础参数'!$E$24),IF(H763="EO",IF($C$1="预估功能点",'模板使用说明&amp;基础参数'!$E$18,'模板使用说明&amp;基础参数'!$E$25),IF(H763="EQ",IF($C$1="预估功能点",'模板使用说明&amp;基础参数'!$E$19,'模板使用说明&amp;基础参数'!$E$26),"")))))</f>
        <v>4</v>
      </c>
      <c r="J763" s="97" t="s">
        <v>38</v>
      </c>
      <c r="K763" s="97" t="s">
        <v>78</v>
      </c>
      <c r="L763" s="98">
        <f>IF(I763="","",IF(J763="高",IF(K763="删除",I763*'模板使用说明&amp;基础参数'!$E$5*'模板使用说明&amp;基础参数'!$E$12,IF(K763="修改",I763*'模板使用说明&amp;基础参数'!$E$5*'模板使用说明&amp;基础参数'!$E$11,I763*'模板使用说明&amp;基础参数'!$E$5*'模板使用说明&amp;基础参数'!$E$10)),IF(J763="中",IF(K763="删除",I763*'模板使用说明&amp;基础参数'!$E$6*'模板使用说明&amp;基础参数'!$E$12,IF(K763="修改",I763*'模板使用说明&amp;基础参数'!$E$6*'模板使用说明&amp;基础参数'!$E$11,I763*'模板使用说明&amp;基础参数'!$E$6*'模板使用说明&amp;基础参数'!$E$10)),IF(K763="删除",I763*'模板使用说明&amp;基础参数'!$E$7*'模板使用说明&amp;基础参数'!$E$12,IF(K763="修改",I763*'模板使用说明&amp;基础参数'!$E$7*'模板使用说明&amp;基础参数'!$E$11,I763*'模板使用说明&amp;基础参数'!$E$7*'模板使用说明&amp;基础参数'!$E$10)))))</f>
        <v>1.06666666666667</v>
      </c>
      <c r="M763" s="95"/>
      <c r="N763" s="99"/>
      <c r="O763" s="100"/>
    </row>
    <row r="764" s="70" customFormat="1" ht="25" customHeight="1" spans="1:15">
      <c r="A764" s="93">
        <v>759</v>
      </c>
      <c r="B764" s="94" t="s">
        <v>72</v>
      </c>
      <c r="C764" s="95" t="s">
        <v>154</v>
      </c>
      <c r="D764" s="95" t="s">
        <v>155</v>
      </c>
      <c r="E764" s="95" t="s">
        <v>155</v>
      </c>
      <c r="F764" s="95" t="s">
        <v>1618</v>
      </c>
      <c r="G764" s="95" t="s">
        <v>1619</v>
      </c>
      <c r="H764" s="93" t="s">
        <v>84</v>
      </c>
      <c r="I764" s="96">
        <f>IF(H764="ILF",IF($C$1="预估功能点",'模板使用说明&amp;基础参数'!$E$15,7),IF(H764="EIF",IF($C$1="预估功能点",'模板使用说明&amp;基础参数'!$E$16,5),IF(H764="EI",IF($C$1="预估功能点",'模板使用说明&amp;基础参数'!$E$17,'模板使用说明&amp;基础参数'!$E$24),IF(H764="EO",IF($C$1="预估功能点",'模板使用说明&amp;基础参数'!$E$18,'模板使用说明&amp;基础参数'!$E$25),IF(H764="EQ",IF($C$1="预估功能点",'模板使用说明&amp;基础参数'!$E$19,'模板使用说明&amp;基础参数'!$E$26),"")))))</f>
        <v>4</v>
      </c>
      <c r="J764" s="97" t="s">
        <v>38</v>
      </c>
      <c r="K764" s="97" t="s">
        <v>78</v>
      </c>
      <c r="L764" s="98">
        <f>IF(I764="","",IF(J764="高",IF(K764="删除",I764*'模板使用说明&amp;基础参数'!$E$5*'模板使用说明&amp;基础参数'!$E$12,IF(K764="修改",I764*'模板使用说明&amp;基础参数'!$E$5*'模板使用说明&amp;基础参数'!$E$11,I764*'模板使用说明&amp;基础参数'!$E$5*'模板使用说明&amp;基础参数'!$E$10)),IF(J764="中",IF(K764="删除",I764*'模板使用说明&amp;基础参数'!$E$6*'模板使用说明&amp;基础参数'!$E$12,IF(K764="修改",I764*'模板使用说明&amp;基础参数'!$E$6*'模板使用说明&amp;基础参数'!$E$11,I764*'模板使用说明&amp;基础参数'!$E$6*'模板使用说明&amp;基础参数'!$E$10)),IF(K764="删除",I764*'模板使用说明&amp;基础参数'!$E$7*'模板使用说明&amp;基础参数'!$E$12,IF(K764="修改",I764*'模板使用说明&amp;基础参数'!$E$7*'模板使用说明&amp;基础参数'!$E$11,I764*'模板使用说明&amp;基础参数'!$E$7*'模板使用说明&amp;基础参数'!$E$10)))))</f>
        <v>1.06666666666667</v>
      </c>
      <c r="M764" s="95"/>
      <c r="N764" s="99"/>
      <c r="O764" s="100"/>
    </row>
    <row r="765" s="70" customFormat="1" ht="25" customHeight="1" spans="1:15">
      <c r="A765" s="93">
        <v>760</v>
      </c>
      <c r="B765" s="94" t="s">
        <v>72</v>
      </c>
      <c r="C765" s="95" t="s">
        <v>154</v>
      </c>
      <c r="D765" s="95" t="s">
        <v>155</v>
      </c>
      <c r="E765" s="95" t="s">
        <v>155</v>
      </c>
      <c r="F765" s="95" t="s">
        <v>1620</v>
      </c>
      <c r="G765" s="95" t="s">
        <v>1621</v>
      </c>
      <c r="H765" s="93" t="s">
        <v>84</v>
      </c>
      <c r="I765" s="96">
        <f>IF(H765="ILF",IF($C$1="预估功能点",'模板使用说明&amp;基础参数'!$E$15,7),IF(H765="EIF",IF($C$1="预估功能点",'模板使用说明&amp;基础参数'!$E$16,5),IF(H765="EI",IF($C$1="预估功能点",'模板使用说明&amp;基础参数'!$E$17,'模板使用说明&amp;基础参数'!$E$24),IF(H765="EO",IF($C$1="预估功能点",'模板使用说明&amp;基础参数'!$E$18,'模板使用说明&amp;基础参数'!$E$25),IF(H765="EQ",IF($C$1="预估功能点",'模板使用说明&amp;基础参数'!$E$19,'模板使用说明&amp;基础参数'!$E$26),"")))))</f>
        <v>4</v>
      </c>
      <c r="J765" s="97" t="s">
        <v>38</v>
      </c>
      <c r="K765" s="97" t="s">
        <v>78</v>
      </c>
      <c r="L765" s="98">
        <f>IF(I765="","",IF(J765="高",IF(K765="删除",I765*'模板使用说明&amp;基础参数'!$E$5*'模板使用说明&amp;基础参数'!$E$12,IF(K765="修改",I765*'模板使用说明&amp;基础参数'!$E$5*'模板使用说明&amp;基础参数'!$E$11,I765*'模板使用说明&amp;基础参数'!$E$5*'模板使用说明&amp;基础参数'!$E$10)),IF(J765="中",IF(K765="删除",I765*'模板使用说明&amp;基础参数'!$E$6*'模板使用说明&amp;基础参数'!$E$12,IF(K765="修改",I765*'模板使用说明&amp;基础参数'!$E$6*'模板使用说明&amp;基础参数'!$E$11,I765*'模板使用说明&amp;基础参数'!$E$6*'模板使用说明&amp;基础参数'!$E$10)),IF(K765="删除",I765*'模板使用说明&amp;基础参数'!$E$7*'模板使用说明&amp;基础参数'!$E$12,IF(K765="修改",I765*'模板使用说明&amp;基础参数'!$E$7*'模板使用说明&amp;基础参数'!$E$11,I765*'模板使用说明&amp;基础参数'!$E$7*'模板使用说明&amp;基础参数'!$E$10)))))</f>
        <v>1.06666666666667</v>
      </c>
      <c r="M765" s="95"/>
      <c r="N765" s="99"/>
      <c r="O765" s="100"/>
    </row>
    <row r="766" s="70" customFormat="1" ht="25" customHeight="1" spans="1:15">
      <c r="A766" s="93">
        <v>761</v>
      </c>
      <c r="B766" s="94" t="s">
        <v>72</v>
      </c>
      <c r="C766" s="95" t="s">
        <v>129</v>
      </c>
      <c r="D766" s="95" t="s">
        <v>130</v>
      </c>
      <c r="E766" s="95" t="s">
        <v>130</v>
      </c>
      <c r="F766" s="95" t="s">
        <v>1622</v>
      </c>
      <c r="G766" s="95" t="s">
        <v>1623</v>
      </c>
      <c r="H766" s="93" t="s">
        <v>77</v>
      </c>
      <c r="I766" s="96">
        <f>IF(H766="ILF",IF($C$1="预估功能点",'模板使用说明&amp;基础参数'!$E$15,7),IF(H766="EIF",IF($C$1="预估功能点",'模板使用说明&amp;基础参数'!$E$16,5),IF(H766="EI",IF($C$1="预估功能点",'模板使用说明&amp;基础参数'!$E$17,'模板使用说明&amp;基础参数'!$E$24),IF(H766="EO",IF($C$1="预估功能点",'模板使用说明&amp;基础参数'!$E$18,'模板使用说明&amp;基础参数'!$E$25),IF(H766="EQ",IF($C$1="预估功能点",'模板使用说明&amp;基础参数'!$E$19,'模板使用说明&amp;基础参数'!$E$26),"")))))</f>
        <v>7</v>
      </c>
      <c r="J766" s="97" t="s">
        <v>38</v>
      </c>
      <c r="K766" s="97" t="s">
        <v>78</v>
      </c>
      <c r="L766" s="98">
        <f>IF(I766="","",IF(J766="高",IF(K766="删除",I766*'模板使用说明&amp;基础参数'!$E$5*'模板使用说明&amp;基础参数'!$E$12,IF(K766="修改",I766*'模板使用说明&amp;基础参数'!$E$5*'模板使用说明&amp;基础参数'!$E$11,I766*'模板使用说明&amp;基础参数'!$E$5*'模板使用说明&amp;基础参数'!$E$10)),IF(J766="中",IF(K766="删除",I766*'模板使用说明&amp;基础参数'!$E$6*'模板使用说明&amp;基础参数'!$E$12,IF(K766="修改",I766*'模板使用说明&amp;基础参数'!$E$6*'模板使用说明&amp;基础参数'!$E$11,I766*'模板使用说明&amp;基础参数'!$E$6*'模板使用说明&amp;基础参数'!$E$10)),IF(K766="删除",I766*'模板使用说明&amp;基础参数'!$E$7*'模板使用说明&amp;基础参数'!$E$12,IF(K766="修改",I766*'模板使用说明&amp;基础参数'!$E$7*'模板使用说明&amp;基础参数'!$E$11,I766*'模板使用说明&amp;基础参数'!$E$7*'模板使用说明&amp;基础参数'!$E$10)))))</f>
        <v>1.86666666666666</v>
      </c>
      <c r="M766" s="95"/>
      <c r="N766" s="99"/>
      <c r="O766" s="100"/>
    </row>
    <row r="767" s="70" customFormat="1" ht="25" customHeight="1" spans="1:15">
      <c r="A767" s="93">
        <v>762</v>
      </c>
      <c r="B767" s="94" t="s">
        <v>72</v>
      </c>
      <c r="C767" s="95" t="s">
        <v>129</v>
      </c>
      <c r="D767" s="95" t="s">
        <v>130</v>
      </c>
      <c r="E767" s="95" t="s">
        <v>130</v>
      </c>
      <c r="F767" s="95" t="s">
        <v>1624</v>
      </c>
      <c r="G767" s="95" t="s">
        <v>1625</v>
      </c>
      <c r="H767" s="93" t="s">
        <v>135</v>
      </c>
      <c r="I767" s="96">
        <f>IF(H767="ILF",IF($C$1="预估功能点",'模板使用说明&amp;基础参数'!$E$15,7),IF(H767="EIF",IF($C$1="预估功能点",'模板使用说明&amp;基础参数'!$E$16,5),IF(H767="EI",IF($C$1="预估功能点",'模板使用说明&amp;基础参数'!$E$17,'模板使用说明&amp;基础参数'!$E$24),IF(H767="EO",IF($C$1="预估功能点",'模板使用说明&amp;基础参数'!$E$18,'模板使用说明&amp;基础参数'!$E$25),IF(H767="EQ",IF($C$1="预估功能点",'模板使用说明&amp;基础参数'!$E$19,'模板使用说明&amp;基础参数'!$E$26),"")))))</f>
        <v>5</v>
      </c>
      <c r="J767" s="97" t="s">
        <v>38</v>
      </c>
      <c r="K767" s="97" t="s">
        <v>78</v>
      </c>
      <c r="L767" s="98">
        <f>IF(I767="","",IF(J767="高",IF(K767="删除",I767*'模板使用说明&amp;基础参数'!$E$5*'模板使用说明&amp;基础参数'!$E$12,IF(K767="修改",I767*'模板使用说明&amp;基础参数'!$E$5*'模板使用说明&amp;基础参数'!$E$11,I767*'模板使用说明&amp;基础参数'!$E$5*'模板使用说明&amp;基础参数'!$E$10)),IF(J767="中",IF(K767="删除",I767*'模板使用说明&amp;基础参数'!$E$6*'模板使用说明&amp;基础参数'!$E$12,IF(K767="修改",I767*'模板使用说明&amp;基础参数'!$E$6*'模板使用说明&amp;基础参数'!$E$11,I767*'模板使用说明&amp;基础参数'!$E$6*'模板使用说明&amp;基础参数'!$E$10)),IF(K767="删除",I767*'模板使用说明&amp;基础参数'!$E$7*'模板使用说明&amp;基础参数'!$E$12,IF(K767="修改",I767*'模板使用说明&amp;基础参数'!$E$7*'模板使用说明&amp;基础参数'!$E$11,I767*'模板使用说明&amp;基础参数'!$E$7*'模板使用说明&amp;基础参数'!$E$10)))))</f>
        <v>1.33333333333333</v>
      </c>
      <c r="M767" s="95"/>
      <c r="N767" s="99"/>
      <c r="O767" s="100"/>
    </row>
    <row r="768" s="70" customFormat="1" ht="25" customHeight="1" spans="1:15">
      <c r="A768" s="93">
        <v>763</v>
      </c>
      <c r="B768" s="94" t="s">
        <v>72</v>
      </c>
      <c r="C768" s="95" t="s">
        <v>129</v>
      </c>
      <c r="D768" s="95" t="s">
        <v>130</v>
      </c>
      <c r="E768" s="95" t="s">
        <v>130</v>
      </c>
      <c r="F768" s="95" t="s">
        <v>1626</v>
      </c>
      <c r="G768" s="95" t="s">
        <v>1627</v>
      </c>
      <c r="H768" s="93" t="s">
        <v>81</v>
      </c>
      <c r="I768" s="96">
        <f>IF(H768="ILF",IF($C$1="预估功能点",'模板使用说明&amp;基础参数'!$E$15,7),IF(H768="EIF",IF($C$1="预估功能点",'模板使用说明&amp;基础参数'!$E$16,5),IF(H768="EI",IF($C$1="预估功能点",'模板使用说明&amp;基础参数'!$E$17,'模板使用说明&amp;基础参数'!$E$24),IF(H768="EO",IF($C$1="预估功能点",'模板使用说明&amp;基础参数'!$E$18,'模板使用说明&amp;基础参数'!$E$25),IF(H768="EQ",IF($C$1="预估功能点",'模板使用说明&amp;基础参数'!$E$19,'模板使用说明&amp;基础参数'!$E$26),"")))))</f>
        <v>4</v>
      </c>
      <c r="J768" s="97" t="s">
        <v>38</v>
      </c>
      <c r="K768" s="97" t="s">
        <v>78</v>
      </c>
      <c r="L768" s="98">
        <f>IF(I768="","",IF(J768="高",IF(K768="删除",I768*'模板使用说明&amp;基础参数'!$E$5*'模板使用说明&amp;基础参数'!$E$12,IF(K768="修改",I768*'模板使用说明&amp;基础参数'!$E$5*'模板使用说明&amp;基础参数'!$E$11,I768*'模板使用说明&amp;基础参数'!$E$5*'模板使用说明&amp;基础参数'!$E$10)),IF(J768="中",IF(K768="删除",I768*'模板使用说明&amp;基础参数'!$E$6*'模板使用说明&amp;基础参数'!$E$12,IF(K768="修改",I768*'模板使用说明&amp;基础参数'!$E$6*'模板使用说明&amp;基础参数'!$E$11,I768*'模板使用说明&amp;基础参数'!$E$6*'模板使用说明&amp;基础参数'!$E$10)),IF(K768="删除",I768*'模板使用说明&amp;基础参数'!$E$7*'模板使用说明&amp;基础参数'!$E$12,IF(K768="修改",I768*'模板使用说明&amp;基础参数'!$E$7*'模板使用说明&amp;基础参数'!$E$11,I768*'模板使用说明&amp;基础参数'!$E$7*'模板使用说明&amp;基础参数'!$E$10)))))</f>
        <v>1.06666666666667</v>
      </c>
      <c r="M768" s="95"/>
      <c r="N768" s="99"/>
      <c r="O768" s="100"/>
    </row>
    <row r="769" s="70" customFormat="1" ht="25" customHeight="1" spans="1:15">
      <c r="A769" s="93">
        <v>764</v>
      </c>
      <c r="B769" s="94" t="s">
        <v>72</v>
      </c>
      <c r="C769" s="95" t="s">
        <v>129</v>
      </c>
      <c r="D769" s="95" t="s">
        <v>130</v>
      </c>
      <c r="E769" s="95" t="s">
        <v>130</v>
      </c>
      <c r="F769" s="95" t="s">
        <v>1628</v>
      </c>
      <c r="G769" s="95" t="s">
        <v>1629</v>
      </c>
      <c r="H769" s="93" t="s">
        <v>84</v>
      </c>
      <c r="I769" s="96">
        <f>IF(H769="ILF",IF($C$1="预估功能点",'模板使用说明&amp;基础参数'!$E$15,7),IF(H769="EIF",IF($C$1="预估功能点",'模板使用说明&amp;基础参数'!$E$16,5),IF(H769="EI",IF($C$1="预估功能点",'模板使用说明&amp;基础参数'!$E$17,'模板使用说明&amp;基础参数'!$E$24),IF(H769="EO",IF($C$1="预估功能点",'模板使用说明&amp;基础参数'!$E$18,'模板使用说明&amp;基础参数'!$E$25),IF(H769="EQ",IF($C$1="预估功能点",'模板使用说明&amp;基础参数'!$E$19,'模板使用说明&amp;基础参数'!$E$26),"")))))</f>
        <v>4</v>
      </c>
      <c r="J769" s="97" t="s">
        <v>38</v>
      </c>
      <c r="K769" s="97" t="s">
        <v>78</v>
      </c>
      <c r="L769" s="98">
        <f>IF(I769="","",IF(J769="高",IF(K769="删除",I769*'模板使用说明&amp;基础参数'!$E$5*'模板使用说明&amp;基础参数'!$E$12,IF(K769="修改",I769*'模板使用说明&amp;基础参数'!$E$5*'模板使用说明&amp;基础参数'!$E$11,I769*'模板使用说明&amp;基础参数'!$E$5*'模板使用说明&amp;基础参数'!$E$10)),IF(J769="中",IF(K769="删除",I769*'模板使用说明&amp;基础参数'!$E$6*'模板使用说明&amp;基础参数'!$E$12,IF(K769="修改",I769*'模板使用说明&amp;基础参数'!$E$6*'模板使用说明&amp;基础参数'!$E$11,I769*'模板使用说明&amp;基础参数'!$E$6*'模板使用说明&amp;基础参数'!$E$10)),IF(K769="删除",I769*'模板使用说明&amp;基础参数'!$E$7*'模板使用说明&amp;基础参数'!$E$12,IF(K769="修改",I769*'模板使用说明&amp;基础参数'!$E$7*'模板使用说明&amp;基础参数'!$E$11,I769*'模板使用说明&amp;基础参数'!$E$7*'模板使用说明&amp;基础参数'!$E$10)))))</f>
        <v>1.06666666666667</v>
      </c>
      <c r="M769" s="95"/>
      <c r="N769" s="99"/>
      <c r="O769" s="100"/>
    </row>
    <row r="770" s="70" customFormat="1" ht="25" customHeight="1" spans="1:15">
      <c r="A770" s="93">
        <v>765</v>
      </c>
      <c r="B770" s="94" t="s">
        <v>72</v>
      </c>
      <c r="C770" s="95" t="s">
        <v>129</v>
      </c>
      <c r="D770" s="95" t="s">
        <v>130</v>
      </c>
      <c r="E770" s="95" t="s">
        <v>130</v>
      </c>
      <c r="F770" s="95" t="s">
        <v>1630</v>
      </c>
      <c r="G770" s="95" t="s">
        <v>1631</v>
      </c>
      <c r="H770" s="93" t="s">
        <v>84</v>
      </c>
      <c r="I770" s="96">
        <f>IF(H770="ILF",IF($C$1="预估功能点",'模板使用说明&amp;基础参数'!$E$15,7),IF(H770="EIF",IF($C$1="预估功能点",'模板使用说明&amp;基础参数'!$E$16,5),IF(H770="EI",IF($C$1="预估功能点",'模板使用说明&amp;基础参数'!$E$17,'模板使用说明&amp;基础参数'!$E$24),IF(H770="EO",IF($C$1="预估功能点",'模板使用说明&amp;基础参数'!$E$18,'模板使用说明&amp;基础参数'!$E$25),IF(H770="EQ",IF($C$1="预估功能点",'模板使用说明&amp;基础参数'!$E$19,'模板使用说明&amp;基础参数'!$E$26),"")))))</f>
        <v>4</v>
      </c>
      <c r="J770" s="97" t="s">
        <v>38</v>
      </c>
      <c r="K770" s="97" t="s">
        <v>78</v>
      </c>
      <c r="L770" s="98">
        <f>IF(I770="","",IF(J770="高",IF(K770="删除",I770*'模板使用说明&amp;基础参数'!$E$5*'模板使用说明&amp;基础参数'!$E$12,IF(K770="修改",I770*'模板使用说明&amp;基础参数'!$E$5*'模板使用说明&amp;基础参数'!$E$11,I770*'模板使用说明&amp;基础参数'!$E$5*'模板使用说明&amp;基础参数'!$E$10)),IF(J770="中",IF(K770="删除",I770*'模板使用说明&amp;基础参数'!$E$6*'模板使用说明&amp;基础参数'!$E$12,IF(K770="修改",I770*'模板使用说明&amp;基础参数'!$E$6*'模板使用说明&amp;基础参数'!$E$11,I770*'模板使用说明&amp;基础参数'!$E$6*'模板使用说明&amp;基础参数'!$E$10)),IF(K770="删除",I770*'模板使用说明&amp;基础参数'!$E$7*'模板使用说明&amp;基础参数'!$E$12,IF(K770="修改",I770*'模板使用说明&amp;基础参数'!$E$7*'模板使用说明&amp;基础参数'!$E$11,I770*'模板使用说明&amp;基础参数'!$E$7*'模板使用说明&amp;基础参数'!$E$10)))))</f>
        <v>1.06666666666667</v>
      </c>
      <c r="M770" s="95"/>
      <c r="N770" s="99"/>
      <c r="O770" s="100"/>
    </row>
    <row r="771" s="70" customFormat="1" ht="25" customHeight="1" spans="1:15">
      <c r="A771" s="93">
        <v>766</v>
      </c>
      <c r="B771" s="94" t="s">
        <v>72</v>
      </c>
      <c r="C771" s="95" t="s">
        <v>129</v>
      </c>
      <c r="D771" s="95" t="s">
        <v>130</v>
      </c>
      <c r="E771" s="95" t="s">
        <v>130</v>
      </c>
      <c r="F771" s="95" t="s">
        <v>1632</v>
      </c>
      <c r="G771" s="95" t="s">
        <v>1633</v>
      </c>
      <c r="H771" s="93" t="s">
        <v>84</v>
      </c>
      <c r="I771" s="96">
        <f>IF(H771="ILF",IF($C$1="预估功能点",'模板使用说明&amp;基础参数'!$E$15,7),IF(H771="EIF",IF($C$1="预估功能点",'模板使用说明&amp;基础参数'!$E$16,5),IF(H771="EI",IF($C$1="预估功能点",'模板使用说明&amp;基础参数'!$E$17,'模板使用说明&amp;基础参数'!$E$24),IF(H771="EO",IF($C$1="预估功能点",'模板使用说明&amp;基础参数'!$E$18,'模板使用说明&amp;基础参数'!$E$25),IF(H771="EQ",IF($C$1="预估功能点",'模板使用说明&amp;基础参数'!$E$19,'模板使用说明&amp;基础参数'!$E$26),"")))))</f>
        <v>4</v>
      </c>
      <c r="J771" s="97" t="s">
        <v>38</v>
      </c>
      <c r="K771" s="97" t="s">
        <v>78</v>
      </c>
      <c r="L771" s="98">
        <f>IF(I771="","",IF(J771="高",IF(K771="删除",I771*'模板使用说明&amp;基础参数'!$E$5*'模板使用说明&amp;基础参数'!$E$12,IF(K771="修改",I771*'模板使用说明&amp;基础参数'!$E$5*'模板使用说明&amp;基础参数'!$E$11,I771*'模板使用说明&amp;基础参数'!$E$5*'模板使用说明&amp;基础参数'!$E$10)),IF(J771="中",IF(K771="删除",I771*'模板使用说明&amp;基础参数'!$E$6*'模板使用说明&amp;基础参数'!$E$12,IF(K771="修改",I771*'模板使用说明&amp;基础参数'!$E$6*'模板使用说明&amp;基础参数'!$E$11,I771*'模板使用说明&amp;基础参数'!$E$6*'模板使用说明&amp;基础参数'!$E$10)),IF(K771="删除",I771*'模板使用说明&amp;基础参数'!$E$7*'模板使用说明&amp;基础参数'!$E$12,IF(K771="修改",I771*'模板使用说明&amp;基础参数'!$E$7*'模板使用说明&amp;基础参数'!$E$11,I771*'模板使用说明&amp;基础参数'!$E$7*'模板使用说明&amp;基础参数'!$E$10)))))</f>
        <v>1.06666666666667</v>
      </c>
      <c r="M771" s="95"/>
      <c r="N771" s="99"/>
      <c r="O771" s="100"/>
    </row>
    <row r="772" s="70" customFormat="1" ht="25" customHeight="1" spans="1:15">
      <c r="A772" s="93">
        <v>767</v>
      </c>
      <c r="B772" s="94" t="s">
        <v>72</v>
      </c>
      <c r="C772" s="95" t="s">
        <v>144</v>
      </c>
      <c r="D772" s="95" t="s">
        <v>145</v>
      </c>
      <c r="E772" s="95" t="s">
        <v>145</v>
      </c>
      <c r="F772" s="95" t="s">
        <v>1634</v>
      </c>
      <c r="G772" s="95" t="s">
        <v>1635</v>
      </c>
      <c r="H772" s="93" t="s">
        <v>77</v>
      </c>
      <c r="I772" s="96">
        <f>IF(H772="ILF",IF($C$1="预估功能点",'模板使用说明&amp;基础参数'!$E$15,7),IF(H772="EIF",IF($C$1="预估功能点",'模板使用说明&amp;基础参数'!$E$16,5),IF(H772="EI",IF($C$1="预估功能点",'模板使用说明&amp;基础参数'!$E$17,'模板使用说明&amp;基础参数'!$E$24),IF(H772="EO",IF($C$1="预估功能点",'模板使用说明&amp;基础参数'!$E$18,'模板使用说明&amp;基础参数'!$E$25),IF(H772="EQ",IF($C$1="预估功能点",'模板使用说明&amp;基础参数'!$E$19,'模板使用说明&amp;基础参数'!$E$26),"")))))</f>
        <v>7</v>
      </c>
      <c r="J772" s="97" t="s">
        <v>38</v>
      </c>
      <c r="K772" s="97" t="s">
        <v>78</v>
      </c>
      <c r="L772" s="98">
        <f>IF(I772="","",IF(J772="高",IF(K772="删除",I772*'模板使用说明&amp;基础参数'!$E$5*'模板使用说明&amp;基础参数'!$E$12,IF(K772="修改",I772*'模板使用说明&amp;基础参数'!$E$5*'模板使用说明&amp;基础参数'!$E$11,I772*'模板使用说明&amp;基础参数'!$E$5*'模板使用说明&amp;基础参数'!$E$10)),IF(J772="中",IF(K772="删除",I772*'模板使用说明&amp;基础参数'!$E$6*'模板使用说明&amp;基础参数'!$E$12,IF(K772="修改",I772*'模板使用说明&amp;基础参数'!$E$6*'模板使用说明&amp;基础参数'!$E$11,I772*'模板使用说明&amp;基础参数'!$E$6*'模板使用说明&amp;基础参数'!$E$10)),IF(K772="删除",I772*'模板使用说明&amp;基础参数'!$E$7*'模板使用说明&amp;基础参数'!$E$12,IF(K772="修改",I772*'模板使用说明&amp;基础参数'!$E$7*'模板使用说明&amp;基础参数'!$E$11,I772*'模板使用说明&amp;基础参数'!$E$7*'模板使用说明&amp;基础参数'!$E$10)))))</f>
        <v>1.86666666666666</v>
      </c>
      <c r="M772" s="95"/>
      <c r="N772" s="99"/>
      <c r="O772" s="100"/>
    </row>
    <row r="773" s="70" customFormat="1" ht="25" customHeight="1" spans="1:15">
      <c r="A773" s="93">
        <v>768</v>
      </c>
      <c r="B773" s="94" t="s">
        <v>72</v>
      </c>
      <c r="C773" s="95" t="s">
        <v>144</v>
      </c>
      <c r="D773" s="95" t="s">
        <v>145</v>
      </c>
      <c r="E773" s="95" t="s">
        <v>145</v>
      </c>
      <c r="F773" s="95" t="s">
        <v>1636</v>
      </c>
      <c r="G773" s="95" t="s">
        <v>1637</v>
      </c>
      <c r="H773" s="93" t="s">
        <v>81</v>
      </c>
      <c r="I773" s="96">
        <f>IF(H773="ILF",IF($C$1="预估功能点",'模板使用说明&amp;基础参数'!$E$15,7),IF(H773="EIF",IF($C$1="预估功能点",'模板使用说明&amp;基础参数'!$E$16,5),IF(H773="EI",IF($C$1="预估功能点",'模板使用说明&amp;基础参数'!$E$17,'模板使用说明&amp;基础参数'!$E$24),IF(H773="EO",IF($C$1="预估功能点",'模板使用说明&amp;基础参数'!$E$18,'模板使用说明&amp;基础参数'!$E$25),IF(H773="EQ",IF($C$1="预估功能点",'模板使用说明&amp;基础参数'!$E$19,'模板使用说明&amp;基础参数'!$E$26),"")))))</f>
        <v>4</v>
      </c>
      <c r="J773" s="97" t="s">
        <v>38</v>
      </c>
      <c r="K773" s="97" t="s">
        <v>78</v>
      </c>
      <c r="L773" s="98">
        <f>IF(I773="","",IF(J773="高",IF(K773="删除",I773*'模板使用说明&amp;基础参数'!$E$5*'模板使用说明&amp;基础参数'!$E$12,IF(K773="修改",I773*'模板使用说明&amp;基础参数'!$E$5*'模板使用说明&amp;基础参数'!$E$11,I773*'模板使用说明&amp;基础参数'!$E$5*'模板使用说明&amp;基础参数'!$E$10)),IF(J773="中",IF(K773="删除",I773*'模板使用说明&amp;基础参数'!$E$6*'模板使用说明&amp;基础参数'!$E$12,IF(K773="修改",I773*'模板使用说明&amp;基础参数'!$E$6*'模板使用说明&amp;基础参数'!$E$11,I773*'模板使用说明&amp;基础参数'!$E$6*'模板使用说明&amp;基础参数'!$E$10)),IF(K773="删除",I773*'模板使用说明&amp;基础参数'!$E$7*'模板使用说明&amp;基础参数'!$E$12,IF(K773="修改",I773*'模板使用说明&amp;基础参数'!$E$7*'模板使用说明&amp;基础参数'!$E$11,I773*'模板使用说明&amp;基础参数'!$E$7*'模板使用说明&amp;基础参数'!$E$10)))))</f>
        <v>1.06666666666667</v>
      </c>
      <c r="M773" s="95"/>
      <c r="N773" s="99"/>
      <c r="O773" s="100"/>
    </row>
    <row r="774" s="70" customFormat="1" ht="25" customHeight="1" spans="1:15">
      <c r="A774" s="93">
        <v>769</v>
      </c>
      <c r="B774" s="94" t="s">
        <v>72</v>
      </c>
      <c r="C774" s="95" t="s">
        <v>144</v>
      </c>
      <c r="D774" s="95" t="s">
        <v>145</v>
      </c>
      <c r="E774" s="95" t="s">
        <v>145</v>
      </c>
      <c r="F774" s="95" t="s">
        <v>1638</v>
      </c>
      <c r="G774" s="95" t="s">
        <v>1639</v>
      </c>
      <c r="H774" s="93" t="s">
        <v>84</v>
      </c>
      <c r="I774" s="96">
        <f>IF(H774="ILF",IF($C$1="预估功能点",'模板使用说明&amp;基础参数'!$E$15,7),IF(H774="EIF",IF($C$1="预估功能点",'模板使用说明&amp;基础参数'!$E$16,5),IF(H774="EI",IF($C$1="预估功能点",'模板使用说明&amp;基础参数'!$E$17,'模板使用说明&amp;基础参数'!$E$24),IF(H774="EO",IF($C$1="预估功能点",'模板使用说明&amp;基础参数'!$E$18,'模板使用说明&amp;基础参数'!$E$25),IF(H774="EQ",IF($C$1="预估功能点",'模板使用说明&amp;基础参数'!$E$19,'模板使用说明&amp;基础参数'!$E$26),"")))))</f>
        <v>4</v>
      </c>
      <c r="J774" s="97" t="s">
        <v>38</v>
      </c>
      <c r="K774" s="97" t="s">
        <v>78</v>
      </c>
      <c r="L774" s="98">
        <f>IF(I774="","",IF(J774="高",IF(K774="删除",I774*'模板使用说明&amp;基础参数'!$E$5*'模板使用说明&amp;基础参数'!$E$12,IF(K774="修改",I774*'模板使用说明&amp;基础参数'!$E$5*'模板使用说明&amp;基础参数'!$E$11,I774*'模板使用说明&amp;基础参数'!$E$5*'模板使用说明&amp;基础参数'!$E$10)),IF(J774="中",IF(K774="删除",I774*'模板使用说明&amp;基础参数'!$E$6*'模板使用说明&amp;基础参数'!$E$12,IF(K774="修改",I774*'模板使用说明&amp;基础参数'!$E$6*'模板使用说明&amp;基础参数'!$E$11,I774*'模板使用说明&amp;基础参数'!$E$6*'模板使用说明&amp;基础参数'!$E$10)),IF(K774="删除",I774*'模板使用说明&amp;基础参数'!$E$7*'模板使用说明&amp;基础参数'!$E$12,IF(K774="修改",I774*'模板使用说明&amp;基础参数'!$E$7*'模板使用说明&amp;基础参数'!$E$11,I774*'模板使用说明&amp;基础参数'!$E$7*'模板使用说明&amp;基础参数'!$E$10)))))</f>
        <v>1.06666666666667</v>
      </c>
      <c r="M774" s="95"/>
      <c r="N774" s="99"/>
      <c r="O774" s="100"/>
    </row>
    <row r="775" s="70" customFormat="1" ht="25" customHeight="1" spans="1:15">
      <c r="A775" s="93">
        <v>770</v>
      </c>
      <c r="B775" s="94" t="s">
        <v>72</v>
      </c>
      <c r="C775" s="95" t="s">
        <v>144</v>
      </c>
      <c r="D775" s="95" t="s">
        <v>145</v>
      </c>
      <c r="E775" s="95" t="s">
        <v>145</v>
      </c>
      <c r="F775" s="95" t="s">
        <v>1640</v>
      </c>
      <c r="G775" s="95" t="s">
        <v>1641</v>
      </c>
      <c r="H775" s="93" t="s">
        <v>84</v>
      </c>
      <c r="I775" s="96">
        <f>IF(H775="ILF",IF($C$1="预估功能点",'模板使用说明&amp;基础参数'!$E$15,7),IF(H775="EIF",IF($C$1="预估功能点",'模板使用说明&amp;基础参数'!$E$16,5),IF(H775="EI",IF($C$1="预估功能点",'模板使用说明&amp;基础参数'!$E$17,'模板使用说明&amp;基础参数'!$E$24),IF(H775="EO",IF($C$1="预估功能点",'模板使用说明&amp;基础参数'!$E$18,'模板使用说明&amp;基础参数'!$E$25),IF(H775="EQ",IF($C$1="预估功能点",'模板使用说明&amp;基础参数'!$E$19,'模板使用说明&amp;基础参数'!$E$26),"")))))</f>
        <v>4</v>
      </c>
      <c r="J775" s="97" t="s">
        <v>38</v>
      </c>
      <c r="K775" s="97" t="s">
        <v>78</v>
      </c>
      <c r="L775" s="98">
        <f>IF(I775="","",IF(J775="高",IF(K775="删除",I775*'模板使用说明&amp;基础参数'!$E$5*'模板使用说明&amp;基础参数'!$E$12,IF(K775="修改",I775*'模板使用说明&amp;基础参数'!$E$5*'模板使用说明&amp;基础参数'!$E$11,I775*'模板使用说明&amp;基础参数'!$E$5*'模板使用说明&amp;基础参数'!$E$10)),IF(J775="中",IF(K775="删除",I775*'模板使用说明&amp;基础参数'!$E$6*'模板使用说明&amp;基础参数'!$E$12,IF(K775="修改",I775*'模板使用说明&amp;基础参数'!$E$6*'模板使用说明&amp;基础参数'!$E$11,I775*'模板使用说明&amp;基础参数'!$E$6*'模板使用说明&amp;基础参数'!$E$10)),IF(K775="删除",I775*'模板使用说明&amp;基础参数'!$E$7*'模板使用说明&amp;基础参数'!$E$12,IF(K775="修改",I775*'模板使用说明&amp;基础参数'!$E$7*'模板使用说明&amp;基础参数'!$E$11,I775*'模板使用说明&amp;基础参数'!$E$7*'模板使用说明&amp;基础参数'!$E$10)))))</f>
        <v>1.06666666666667</v>
      </c>
      <c r="M775" s="95"/>
      <c r="N775" s="99"/>
      <c r="O775" s="100"/>
    </row>
    <row r="776" s="70" customFormat="1" ht="25" customHeight="1" spans="1:15">
      <c r="A776" s="93">
        <v>771</v>
      </c>
      <c r="B776" s="94" t="s">
        <v>72</v>
      </c>
      <c r="C776" s="95" t="s">
        <v>154</v>
      </c>
      <c r="D776" s="95" t="s">
        <v>155</v>
      </c>
      <c r="E776" s="95" t="s">
        <v>155</v>
      </c>
      <c r="F776" s="95" t="s">
        <v>1642</v>
      </c>
      <c r="G776" s="95" t="s">
        <v>1643</v>
      </c>
      <c r="H776" s="93" t="s">
        <v>77</v>
      </c>
      <c r="I776" s="96">
        <f>IF(H776="ILF",IF($C$1="预估功能点",'模板使用说明&amp;基础参数'!$E$15,7),IF(H776="EIF",IF($C$1="预估功能点",'模板使用说明&amp;基础参数'!$E$16,5),IF(H776="EI",IF($C$1="预估功能点",'模板使用说明&amp;基础参数'!$E$17,'模板使用说明&amp;基础参数'!$E$24),IF(H776="EO",IF($C$1="预估功能点",'模板使用说明&amp;基础参数'!$E$18,'模板使用说明&amp;基础参数'!$E$25),IF(H776="EQ",IF($C$1="预估功能点",'模板使用说明&amp;基础参数'!$E$19,'模板使用说明&amp;基础参数'!$E$26),"")))))</f>
        <v>7</v>
      </c>
      <c r="J776" s="97" t="s">
        <v>38</v>
      </c>
      <c r="K776" s="97" t="s">
        <v>78</v>
      </c>
      <c r="L776" s="98">
        <f>IF(I776="","",IF(J776="高",IF(K776="删除",I776*'模板使用说明&amp;基础参数'!$E$5*'模板使用说明&amp;基础参数'!$E$12,IF(K776="修改",I776*'模板使用说明&amp;基础参数'!$E$5*'模板使用说明&amp;基础参数'!$E$11,I776*'模板使用说明&amp;基础参数'!$E$5*'模板使用说明&amp;基础参数'!$E$10)),IF(J776="中",IF(K776="删除",I776*'模板使用说明&amp;基础参数'!$E$6*'模板使用说明&amp;基础参数'!$E$12,IF(K776="修改",I776*'模板使用说明&amp;基础参数'!$E$6*'模板使用说明&amp;基础参数'!$E$11,I776*'模板使用说明&amp;基础参数'!$E$6*'模板使用说明&amp;基础参数'!$E$10)),IF(K776="删除",I776*'模板使用说明&amp;基础参数'!$E$7*'模板使用说明&amp;基础参数'!$E$12,IF(K776="修改",I776*'模板使用说明&amp;基础参数'!$E$7*'模板使用说明&amp;基础参数'!$E$11,I776*'模板使用说明&amp;基础参数'!$E$7*'模板使用说明&amp;基础参数'!$E$10)))))</f>
        <v>1.86666666666666</v>
      </c>
      <c r="M776" s="95"/>
      <c r="N776" s="99"/>
      <c r="O776" s="100"/>
    </row>
    <row r="777" s="70" customFormat="1" ht="25" customHeight="1" spans="1:15">
      <c r="A777" s="93">
        <v>772</v>
      </c>
      <c r="B777" s="94" t="s">
        <v>72</v>
      </c>
      <c r="C777" s="90" t="s">
        <v>154</v>
      </c>
      <c r="D777" s="95" t="s">
        <v>155</v>
      </c>
      <c r="E777" s="95" t="s">
        <v>155</v>
      </c>
      <c r="F777" s="90" t="s">
        <v>1644</v>
      </c>
      <c r="G777" s="95" t="s">
        <v>1645</v>
      </c>
      <c r="H777" s="93" t="s">
        <v>81</v>
      </c>
      <c r="I777" s="96">
        <f>IF(H777="ILF",IF($C$1="预估功能点",'模板使用说明&amp;基础参数'!$E$15,7),IF(H777="EIF",IF($C$1="预估功能点",'模板使用说明&amp;基础参数'!$E$16,5),IF(H777="EI",IF($C$1="预估功能点",'模板使用说明&amp;基础参数'!$E$17,'模板使用说明&amp;基础参数'!$E$24),IF(H777="EO",IF($C$1="预估功能点",'模板使用说明&amp;基础参数'!$E$18,'模板使用说明&amp;基础参数'!$E$25),IF(H777="EQ",IF($C$1="预估功能点",'模板使用说明&amp;基础参数'!$E$19,'模板使用说明&amp;基础参数'!$E$26),"")))))</f>
        <v>4</v>
      </c>
      <c r="J777" s="97" t="s">
        <v>38</v>
      </c>
      <c r="K777" s="97" t="s">
        <v>78</v>
      </c>
      <c r="L777" s="98">
        <f>IF(I777="","",IF(J777="高",IF(K777="删除",I777*'模板使用说明&amp;基础参数'!$E$5*'模板使用说明&amp;基础参数'!$E$12,IF(K777="修改",I777*'模板使用说明&amp;基础参数'!$E$5*'模板使用说明&amp;基础参数'!$E$11,I777*'模板使用说明&amp;基础参数'!$E$5*'模板使用说明&amp;基础参数'!$E$10)),IF(J777="中",IF(K777="删除",I777*'模板使用说明&amp;基础参数'!$E$6*'模板使用说明&amp;基础参数'!$E$12,IF(K777="修改",I777*'模板使用说明&amp;基础参数'!$E$6*'模板使用说明&amp;基础参数'!$E$11,I777*'模板使用说明&amp;基础参数'!$E$6*'模板使用说明&amp;基础参数'!$E$10)),IF(K777="删除",I777*'模板使用说明&amp;基础参数'!$E$7*'模板使用说明&amp;基础参数'!$E$12,IF(K777="修改",I777*'模板使用说明&amp;基础参数'!$E$7*'模板使用说明&amp;基础参数'!$E$11,I777*'模板使用说明&amp;基础参数'!$E$7*'模板使用说明&amp;基础参数'!$E$10)))))</f>
        <v>1.06666666666667</v>
      </c>
      <c r="M777" s="95"/>
      <c r="N777" s="101"/>
      <c r="O777" s="101"/>
    </row>
    <row r="778" s="70" customFormat="1" ht="25" customHeight="1" spans="1:15">
      <c r="A778" s="93">
        <v>773</v>
      </c>
      <c r="B778" s="94" t="s">
        <v>72</v>
      </c>
      <c r="C778" s="90" t="s">
        <v>154</v>
      </c>
      <c r="D778" s="95" t="s">
        <v>155</v>
      </c>
      <c r="E778" s="95" t="s">
        <v>155</v>
      </c>
      <c r="F778" s="90" t="s">
        <v>1646</v>
      </c>
      <c r="G778" s="95" t="s">
        <v>1647</v>
      </c>
      <c r="H778" s="93" t="s">
        <v>84</v>
      </c>
      <c r="I778" s="96">
        <f>IF(H778="ILF",IF($C$1="预估功能点",'模板使用说明&amp;基础参数'!$E$15,7),IF(H778="EIF",IF($C$1="预估功能点",'模板使用说明&amp;基础参数'!$E$16,5),IF(H778="EI",IF($C$1="预估功能点",'模板使用说明&amp;基础参数'!$E$17,'模板使用说明&amp;基础参数'!$E$24),IF(H778="EO",IF($C$1="预估功能点",'模板使用说明&amp;基础参数'!$E$18,'模板使用说明&amp;基础参数'!$E$25),IF(H778="EQ",IF($C$1="预估功能点",'模板使用说明&amp;基础参数'!$E$19,'模板使用说明&amp;基础参数'!$E$26),"")))))</f>
        <v>4</v>
      </c>
      <c r="J778" s="97" t="s">
        <v>38</v>
      </c>
      <c r="K778" s="97" t="s">
        <v>78</v>
      </c>
      <c r="L778" s="98">
        <f>IF(I778="","",IF(J778="高",IF(K778="删除",I778*'模板使用说明&amp;基础参数'!$E$5*'模板使用说明&amp;基础参数'!$E$12,IF(K778="修改",I778*'模板使用说明&amp;基础参数'!$E$5*'模板使用说明&amp;基础参数'!$E$11,I778*'模板使用说明&amp;基础参数'!$E$5*'模板使用说明&amp;基础参数'!$E$10)),IF(J778="中",IF(K778="删除",I778*'模板使用说明&amp;基础参数'!$E$6*'模板使用说明&amp;基础参数'!$E$12,IF(K778="修改",I778*'模板使用说明&amp;基础参数'!$E$6*'模板使用说明&amp;基础参数'!$E$11,I778*'模板使用说明&amp;基础参数'!$E$6*'模板使用说明&amp;基础参数'!$E$10)),IF(K778="删除",I778*'模板使用说明&amp;基础参数'!$E$7*'模板使用说明&amp;基础参数'!$E$12,IF(K778="修改",I778*'模板使用说明&amp;基础参数'!$E$7*'模板使用说明&amp;基础参数'!$E$11,I778*'模板使用说明&amp;基础参数'!$E$7*'模板使用说明&amp;基础参数'!$E$10)))))</f>
        <v>1.06666666666667</v>
      </c>
      <c r="M778" s="95"/>
      <c r="N778" s="101"/>
      <c r="O778" s="101"/>
    </row>
    <row r="779" s="70" customFormat="1" ht="25" customHeight="1" spans="1:15">
      <c r="A779" s="93">
        <v>774</v>
      </c>
      <c r="B779" s="94" t="s">
        <v>72</v>
      </c>
      <c r="C779" s="90" t="s">
        <v>154</v>
      </c>
      <c r="D779" s="95" t="s">
        <v>155</v>
      </c>
      <c r="E779" s="95" t="s">
        <v>155</v>
      </c>
      <c r="F779" s="90" t="s">
        <v>1648</v>
      </c>
      <c r="G779" s="95" t="s">
        <v>1649</v>
      </c>
      <c r="H779" s="93" t="s">
        <v>84</v>
      </c>
      <c r="I779" s="96">
        <f>IF(H779="ILF",IF($C$1="预估功能点",'模板使用说明&amp;基础参数'!$E$15,7),IF(H779="EIF",IF($C$1="预估功能点",'模板使用说明&amp;基础参数'!$E$16,5),IF(H779="EI",IF($C$1="预估功能点",'模板使用说明&amp;基础参数'!$E$17,'模板使用说明&amp;基础参数'!$E$24),IF(H779="EO",IF($C$1="预估功能点",'模板使用说明&amp;基础参数'!$E$18,'模板使用说明&amp;基础参数'!$E$25),IF(H779="EQ",IF($C$1="预估功能点",'模板使用说明&amp;基础参数'!$E$19,'模板使用说明&amp;基础参数'!$E$26),"")))))</f>
        <v>4</v>
      </c>
      <c r="J779" s="97" t="s">
        <v>38</v>
      </c>
      <c r="K779" s="97" t="s">
        <v>78</v>
      </c>
      <c r="L779" s="98">
        <f>IF(I779="","",IF(J779="高",IF(K779="删除",I779*'模板使用说明&amp;基础参数'!$E$5*'模板使用说明&amp;基础参数'!$E$12,IF(K779="修改",I779*'模板使用说明&amp;基础参数'!$E$5*'模板使用说明&amp;基础参数'!$E$11,I779*'模板使用说明&amp;基础参数'!$E$5*'模板使用说明&amp;基础参数'!$E$10)),IF(J779="中",IF(K779="删除",I779*'模板使用说明&amp;基础参数'!$E$6*'模板使用说明&amp;基础参数'!$E$12,IF(K779="修改",I779*'模板使用说明&amp;基础参数'!$E$6*'模板使用说明&amp;基础参数'!$E$11,I779*'模板使用说明&amp;基础参数'!$E$6*'模板使用说明&amp;基础参数'!$E$10)),IF(K779="删除",I779*'模板使用说明&amp;基础参数'!$E$7*'模板使用说明&amp;基础参数'!$E$12,IF(K779="修改",I779*'模板使用说明&amp;基础参数'!$E$7*'模板使用说明&amp;基础参数'!$E$11,I779*'模板使用说明&amp;基础参数'!$E$7*'模板使用说明&amp;基础参数'!$E$10)))))</f>
        <v>1.06666666666667</v>
      </c>
      <c r="M779" s="95"/>
      <c r="N779" s="101"/>
      <c r="O779" s="101"/>
    </row>
    <row r="780" s="70" customFormat="1" ht="25" customHeight="1" spans="1:15">
      <c r="A780" s="93">
        <v>775</v>
      </c>
      <c r="B780" s="94" t="s">
        <v>72</v>
      </c>
      <c r="C780" s="90" t="s">
        <v>154</v>
      </c>
      <c r="D780" s="95" t="s">
        <v>155</v>
      </c>
      <c r="E780" s="95" t="s">
        <v>155</v>
      </c>
      <c r="F780" s="90" t="s">
        <v>1650</v>
      </c>
      <c r="G780" s="95" t="s">
        <v>1651</v>
      </c>
      <c r="H780" s="93" t="s">
        <v>84</v>
      </c>
      <c r="I780" s="96">
        <f>IF(H780="ILF",IF($C$1="预估功能点",'模板使用说明&amp;基础参数'!$E$15,7),IF(H780="EIF",IF($C$1="预估功能点",'模板使用说明&amp;基础参数'!$E$16,5),IF(H780="EI",IF($C$1="预估功能点",'模板使用说明&amp;基础参数'!$E$17,'模板使用说明&amp;基础参数'!$E$24),IF(H780="EO",IF($C$1="预估功能点",'模板使用说明&amp;基础参数'!$E$18,'模板使用说明&amp;基础参数'!$E$25),IF(H780="EQ",IF($C$1="预估功能点",'模板使用说明&amp;基础参数'!$E$19,'模板使用说明&amp;基础参数'!$E$26),"")))))</f>
        <v>4</v>
      </c>
      <c r="J780" s="97" t="s">
        <v>38</v>
      </c>
      <c r="K780" s="97" t="s">
        <v>78</v>
      </c>
      <c r="L780" s="98">
        <f>IF(I780="","",IF(J780="高",IF(K780="删除",I780*'模板使用说明&amp;基础参数'!$E$5*'模板使用说明&amp;基础参数'!$E$12,IF(K780="修改",I780*'模板使用说明&amp;基础参数'!$E$5*'模板使用说明&amp;基础参数'!$E$11,I780*'模板使用说明&amp;基础参数'!$E$5*'模板使用说明&amp;基础参数'!$E$10)),IF(J780="中",IF(K780="删除",I780*'模板使用说明&amp;基础参数'!$E$6*'模板使用说明&amp;基础参数'!$E$12,IF(K780="修改",I780*'模板使用说明&amp;基础参数'!$E$6*'模板使用说明&amp;基础参数'!$E$11,I780*'模板使用说明&amp;基础参数'!$E$6*'模板使用说明&amp;基础参数'!$E$10)),IF(K780="删除",I780*'模板使用说明&amp;基础参数'!$E$7*'模板使用说明&amp;基础参数'!$E$12,IF(K780="修改",I780*'模板使用说明&amp;基础参数'!$E$7*'模板使用说明&amp;基础参数'!$E$11,I780*'模板使用说明&amp;基础参数'!$E$7*'模板使用说明&amp;基础参数'!$E$10)))))</f>
        <v>1.06666666666667</v>
      </c>
      <c r="M780" s="95"/>
      <c r="N780" s="101"/>
      <c r="O780" s="101"/>
    </row>
    <row r="781" s="70" customFormat="1" ht="25" customHeight="1" spans="1:15">
      <c r="A781" s="93">
        <v>776</v>
      </c>
      <c r="B781" s="94" t="s">
        <v>72</v>
      </c>
      <c r="C781" s="90" t="s">
        <v>154</v>
      </c>
      <c r="D781" s="95" t="s">
        <v>155</v>
      </c>
      <c r="E781" s="95" t="s">
        <v>155</v>
      </c>
      <c r="F781" s="90" t="s">
        <v>1652</v>
      </c>
      <c r="G781" s="95" t="s">
        <v>1653</v>
      </c>
      <c r="H781" s="93" t="s">
        <v>77</v>
      </c>
      <c r="I781" s="96">
        <f>IF(H781="ILF",IF($C$1="预估功能点",'模板使用说明&amp;基础参数'!$E$15,7),IF(H781="EIF",IF($C$1="预估功能点",'模板使用说明&amp;基础参数'!$E$16,5),IF(H781="EI",IF($C$1="预估功能点",'模板使用说明&amp;基础参数'!$E$17,'模板使用说明&amp;基础参数'!$E$24),IF(H781="EO",IF($C$1="预估功能点",'模板使用说明&amp;基础参数'!$E$18,'模板使用说明&amp;基础参数'!$E$25),IF(H781="EQ",IF($C$1="预估功能点",'模板使用说明&amp;基础参数'!$E$19,'模板使用说明&amp;基础参数'!$E$26),"")))))</f>
        <v>7</v>
      </c>
      <c r="J781" s="97" t="s">
        <v>38</v>
      </c>
      <c r="K781" s="97" t="s">
        <v>78</v>
      </c>
      <c r="L781" s="98">
        <f>IF(I781="","",IF(J781="高",IF(K781="删除",I781*'模板使用说明&amp;基础参数'!$E$5*'模板使用说明&amp;基础参数'!$E$12,IF(K781="修改",I781*'模板使用说明&amp;基础参数'!$E$5*'模板使用说明&amp;基础参数'!$E$11,I781*'模板使用说明&amp;基础参数'!$E$5*'模板使用说明&amp;基础参数'!$E$10)),IF(J781="中",IF(K781="删除",I781*'模板使用说明&amp;基础参数'!$E$6*'模板使用说明&amp;基础参数'!$E$12,IF(K781="修改",I781*'模板使用说明&amp;基础参数'!$E$6*'模板使用说明&amp;基础参数'!$E$11,I781*'模板使用说明&amp;基础参数'!$E$6*'模板使用说明&amp;基础参数'!$E$10)),IF(K781="删除",I781*'模板使用说明&amp;基础参数'!$E$7*'模板使用说明&amp;基础参数'!$E$12,IF(K781="修改",I781*'模板使用说明&amp;基础参数'!$E$7*'模板使用说明&amp;基础参数'!$E$11,I781*'模板使用说明&amp;基础参数'!$E$7*'模板使用说明&amp;基础参数'!$E$10)))))</f>
        <v>1.86666666666666</v>
      </c>
      <c r="M781" s="95"/>
      <c r="N781" s="101"/>
      <c r="O781" s="101"/>
    </row>
    <row r="782" s="70" customFormat="1" ht="25" customHeight="1" spans="1:15">
      <c r="A782" s="93">
        <v>777</v>
      </c>
      <c r="B782" s="94" t="s">
        <v>72</v>
      </c>
      <c r="C782" s="90" t="s">
        <v>154</v>
      </c>
      <c r="D782" s="95" t="s">
        <v>155</v>
      </c>
      <c r="E782" s="95" t="s">
        <v>155</v>
      </c>
      <c r="F782" s="90" t="s">
        <v>1654</v>
      </c>
      <c r="G782" s="95" t="s">
        <v>1655</v>
      </c>
      <c r="H782" s="93" t="s">
        <v>81</v>
      </c>
      <c r="I782" s="96">
        <f>IF(H782="ILF",IF($C$1="预估功能点",'模板使用说明&amp;基础参数'!$E$15,7),IF(H782="EIF",IF($C$1="预估功能点",'模板使用说明&amp;基础参数'!$E$16,5),IF(H782="EI",IF($C$1="预估功能点",'模板使用说明&amp;基础参数'!$E$17,'模板使用说明&amp;基础参数'!$E$24),IF(H782="EO",IF($C$1="预估功能点",'模板使用说明&amp;基础参数'!$E$18,'模板使用说明&amp;基础参数'!$E$25),IF(H782="EQ",IF($C$1="预估功能点",'模板使用说明&amp;基础参数'!$E$19,'模板使用说明&amp;基础参数'!$E$26),"")))))</f>
        <v>4</v>
      </c>
      <c r="J782" s="97" t="s">
        <v>38</v>
      </c>
      <c r="K782" s="97" t="s">
        <v>78</v>
      </c>
      <c r="L782" s="98">
        <f>IF(I782="","",IF(J782="高",IF(K782="删除",I782*'模板使用说明&amp;基础参数'!$E$5*'模板使用说明&amp;基础参数'!$E$12,IF(K782="修改",I782*'模板使用说明&amp;基础参数'!$E$5*'模板使用说明&amp;基础参数'!$E$11,I782*'模板使用说明&amp;基础参数'!$E$5*'模板使用说明&amp;基础参数'!$E$10)),IF(J782="中",IF(K782="删除",I782*'模板使用说明&amp;基础参数'!$E$6*'模板使用说明&amp;基础参数'!$E$12,IF(K782="修改",I782*'模板使用说明&amp;基础参数'!$E$6*'模板使用说明&amp;基础参数'!$E$11,I782*'模板使用说明&amp;基础参数'!$E$6*'模板使用说明&amp;基础参数'!$E$10)),IF(K782="删除",I782*'模板使用说明&amp;基础参数'!$E$7*'模板使用说明&amp;基础参数'!$E$12,IF(K782="修改",I782*'模板使用说明&amp;基础参数'!$E$7*'模板使用说明&amp;基础参数'!$E$11,I782*'模板使用说明&amp;基础参数'!$E$7*'模板使用说明&amp;基础参数'!$E$10)))))</f>
        <v>1.06666666666667</v>
      </c>
      <c r="M782" s="95"/>
      <c r="N782" s="101"/>
      <c r="O782" s="101"/>
    </row>
    <row r="783" s="70" customFormat="1" ht="25" customHeight="1" spans="1:15">
      <c r="A783" s="93">
        <v>778</v>
      </c>
      <c r="B783" s="94" t="s">
        <v>72</v>
      </c>
      <c r="C783" s="90" t="s">
        <v>154</v>
      </c>
      <c r="D783" s="95" t="s">
        <v>155</v>
      </c>
      <c r="E783" s="95" t="s">
        <v>155</v>
      </c>
      <c r="F783" s="90" t="s">
        <v>1656</v>
      </c>
      <c r="G783" s="95" t="s">
        <v>1657</v>
      </c>
      <c r="H783" s="93" t="s">
        <v>84</v>
      </c>
      <c r="I783" s="96">
        <f>IF(H783="ILF",IF($C$1="预估功能点",'模板使用说明&amp;基础参数'!$E$15,7),IF(H783="EIF",IF($C$1="预估功能点",'模板使用说明&amp;基础参数'!$E$16,5),IF(H783="EI",IF($C$1="预估功能点",'模板使用说明&amp;基础参数'!$E$17,'模板使用说明&amp;基础参数'!$E$24),IF(H783="EO",IF($C$1="预估功能点",'模板使用说明&amp;基础参数'!$E$18,'模板使用说明&amp;基础参数'!$E$25),IF(H783="EQ",IF($C$1="预估功能点",'模板使用说明&amp;基础参数'!$E$19,'模板使用说明&amp;基础参数'!$E$26),"")))))</f>
        <v>4</v>
      </c>
      <c r="J783" s="97" t="s">
        <v>38</v>
      </c>
      <c r="K783" s="97" t="s">
        <v>78</v>
      </c>
      <c r="L783" s="98">
        <f>IF(I783="","",IF(J783="高",IF(K783="删除",I783*'模板使用说明&amp;基础参数'!$E$5*'模板使用说明&amp;基础参数'!$E$12,IF(K783="修改",I783*'模板使用说明&amp;基础参数'!$E$5*'模板使用说明&amp;基础参数'!$E$11,I783*'模板使用说明&amp;基础参数'!$E$5*'模板使用说明&amp;基础参数'!$E$10)),IF(J783="中",IF(K783="删除",I783*'模板使用说明&amp;基础参数'!$E$6*'模板使用说明&amp;基础参数'!$E$12,IF(K783="修改",I783*'模板使用说明&amp;基础参数'!$E$6*'模板使用说明&amp;基础参数'!$E$11,I783*'模板使用说明&amp;基础参数'!$E$6*'模板使用说明&amp;基础参数'!$E$10)),IF(K783="删除",I783*'模板使用说明&amp;基础参数'!$E$7*'模板使用说明&amp;基础参数'!$E$12,IF(K783="修改",I783*'模板使用说明&amp;基础参数'!$E$7*'模板使用说明&amp;基础参数'!$E$11,I783*'模板使用说明&amp;基础参数'!$E$7*'模板使用说明&amp;基础参数'!$E$10)))))</f>
        <v>1.06666666666667</v>
      </c>
      <c r="M783" s="95"/>
      <c r="N783" s="101"/>
      <c r="O783" s="101"/>
    </row>
    <row r="784" s="70" customFormat="1" ht="25" customHeight="1" spans="1:15">
      <c r="A784" s="93">
        <v>779</v>
      </c>
      <c r="B784" s="94" t="s">
        <v>72</v>
      </c>
      <c r="C784" s="90" t="s">
        <v>154</v>
      </c>
      <c r="D784" s="95" t="s">
        <v>155</v>
      </c>
      <c r="E784" s="95" t="s">
        <v>155</v>
      </c>
      <c r="F784" s="90" t="s">
        <v>1658</v>
      </c>
      <c r="G784" s="90" t="s">
        <v>1659</v>
      </c>
      <c r="H784" s="93" t="s">
        <v>84</v>
      </c>
      <c r="I784" s="96">
        <f>IF(H784="ILF",IF($C$1="预估功能点",'模板使用说明&amp;基础参数'!$E$15,7),IF(H784="EIF",IF($C$1="预估功能点",'模板使用说明&amp;基础参数'!$E$16,5),IF(H784="EI",IF($C$1="预估功能点",'模板使用说明&amp;基础参数'!$E$17,'模板使用说明&amp;基础参数'!$E$24),IF(H784="EO",IF($C$1="预估功能点",'模板使用说明&amp;基础参数'!$E$18,'模板使用说明&amp;基础参数'!$E$25),IF(H784="EQ",IF($C$1="预估功能点",'模板使用说明&amp;基础参数'!$E$19,'模板使用说明&amp;基础参数'!$E$26),"")))))</f>
        <v>4</v>
      </c>
      <c r="J784" s="97" t="s">
        <v>38</v>
      </c>
      <c r="K784" s="97" t="s">
        <v>78</v>
      </c>
      <c r="L784" s="98">
        <f>IF(I784="","",IF(J784="高",IF(K784="删除",I784*'模板使用说明&amp;基础参数'!$E$5*'模板使用说明&amp;基础参数'!$E$12,IF(K784="修改",I784*'模板使用说明&amp;基础参数'!$E$5*'模板使用说明&amp;基础参数'!$E$11,I784*'模板使用说明&amp;基础参数'!$E$5*'模板使用说明&amp;基础参数'!$E$10)),IF(J784="中",IF(K784="删除",I784*'模板使用说明&amp;基础参数'!$E$6*'模板使用说明&amp;基础参数'!$E$12,IF(K784="修改",I784*'模板使用说明&amp;基础参数'!$E$6*'模板使用说明&amp;基础参数'!$E$11,I784*'模板使用说明&amp;基础参数'!$E$6*'模板使用说明&amp;基础参数'!$E$10)),IF(K784="删除",I784*'模板使用说明&amp;基础参数'!$E$7*'模板使用说明&amp;基础参数'!$E$12,IF(K784="修改",I784*'模板使用说明&amp;基础参数'!$E$7*'模板使用说明&amp;基础参数'!$E$11,I784*'模板使用说明&amp;基础参数'!$E$7*'模板使用说明&amp;基础参数'!$E$10)))))</f>
        <v>1.06666666666667</v>
      </c>
      <c r="M784" s="95"/>
      <c r="N784" s="101"/>
      <c r="O784" s="101"/>
    </row>
    <row r="785" s="70" customFormat="1" ht="25" customHeight="1" spans="1:15">
      <c r="A785" s="93">
        <v>780</v>
      </c>
      <c r="B785" s="94" t="s">
        <v>72</v>
      </c>
      <c r="C785" s="90" t="s">
        <v>154</v>
      </c>
      <c r="D785" s="95" t="s">
        <v>155</v>
      </c>
      <c r="E785" s="95" t="s">
        <v>155</v>
      </c>
      <c r="F785" s="90" t="s">
        <v>1660</v>
      </c>
      <c r="G785" s="95" t="s">
        <v>1661</v>
      </c>
      <c r="H785" s="93" t="s">
        <v>84</v>
      </c>
      <c r="I785" s="96">
        <f>IF(H785="ILF",IF($C$1="预估功能点",'模板使用说明&amp;基础参数'!$E$15,7),IF(H785="EIF",IF($C$1="预估功能点",'模板使用说明&amp;基础参数'!$E$16,5),IF(H785="EI",IF($C$1="预估功能点",'模板使用说明&amp;基础参数'!$E$17,'模板使用说明&amp;基础参数'!$E$24),IF(H785="EO",IF($C$1="预估功能点",'模板使用说明&amp;基础参数'!$E$18,'模板使用说明&amp;基础参数'!$E$25),IF(H785="EQ",IF($C$1="预估功能点",'模板使用说明&amp;基础参数'!$E$19,'模板使用说明&amp;基础参数'!$E$26),"")))))</f>
        <v>4</v>
      </c>
      <c r="J785" s="97" t="s">
        <v>38</v>
      </c>
      <c r="K785" s="97" t="s">
        <v>78</v>
      </c>
      <c r="L785" s="98">
        <f>IF(I785="","",IF(J785="高",IF(K785="删除",I785*'模板使用说明&amp;基础参数'!$E$5*'模板使用说明&amp;基础参数'!$E$12,IF(K785="修改",I785*'模板使用说明&amp;基础参数'!$E$5*'模板使用说明&amp;基础参数'!$E$11,I785*'模板使用说明&amp;基础参数'!$E$5*'模板使用说明&amp;基础参数'!$E$10)),IF(J785="中",IF(K785="删除",I785*'模板使用说明&amp;基础参数'!$E$6*'模板使用说明&amp;基础参数'!$E$12,IF(K785="修改",I785*'模板使用说明&amp;基础参数'!$E$6*'模板使用说明&amp;基础参数'!$E$11,I785*'模板使用说明&amp;基础参数'!$E$6*'模板使用说明&amp;基础参数'!$E$10)),IF(K785="删除",I785*'模板使用说明&amp;基础参数'!$E$7*'模板使用说明&amp;基础参数'!$E$12,IF(K785="修改",I785*'模板使用说明&amp;基础参数'!$E$7*'模板使用说明&amp;基础参数'!$E$11,I785*'模板使用说明&amp;基础参数'!$E$7*'模板使用说明&amp;基础参数'!$E$10)))))</f>
        <v>1.06666666666667</v>
      </c>
      <c r="M785" s="95"/>
      <c r="N785" s="101"/>
      <c r="O785" s="101"/>
    </row>
    <row r="786" s="70" customFormat="1" ht="25" customHeight="1" spans="1:15">
      <c r="A786" s="93">
        <v>781</v>
      </c>
      <c r="B786" s="94" t="s">
        <v>72</v>
      </c>
      <c r="C786" s="90" t="s">
        <v>129</v>
      </c>
      <c r="D786" s="95" t="s">
        <v>130</v>
      </c>
      <c r="E786" s="95" t="s">
        <v>130</v>
      </c>
      <c r="F786" s="90" t="s">
        <v>1662</v>
      </c>
      <c r="G786" s="90" t="s">
        <v>1663</v>
      </c>
      <c r="H786" s="93" t="s">
        <v>77</v>
      </c>
      <c r="I786" s="96">
        <f>IF(H786="ILF",IF($C$1="预估功能点",'模板使用说明&amp;基础参数'!$E$15,7),IF(H786="EIF",IF($C$1="预估功能点",'模板使用说明&amp;基础参数'!$E$16,5),IF(H786="EI",IF($C$1="预估功能点",'模板使用说明&amp;基础参数'!$E$17,'模板使用说明&amp;基础参数'!$E$24),IF(H786="EO",IF($C$1="预估功能点",'模板使用说明&amp;基础参数'!$E$18,'模板使用说明&amp;基础参数'!$E$25),IF(H786="EQ",IF($C$1="预估功能点",'模板使用说明&amp;基础参数'!$E$19,'模板使用说明&amp;基础参数'!$E$26),"")))))</f>
        <v>7</v>
      </c>
      <c r="J786" s="97" t="s">
        <v>38</v>
      </c>
      <c r="K786" s="97" t="s">
        <v>78</v>
      </c>
      <c r="L786" s="98">
        <f>IF(I786="","",IF(J786="高",IF(K786="删除",I786*'模板使用说明&amp;基础参数'!$E$5*'模板使用说明&amp;基础参数'!$E$12,IF(K786="修改",I786*'模板使用说明&amp;基础参数'!$E$5*'模板使用说明&amp;基础参数'!$E$11,I786*'模板使用说明&amp;基础参数'!$E$5*'模板使用说明&amp;基础参数'!$E$10)),IF(J786="中",IF(K786="删除",I786*'模板使用说明&amp;基础参数'!$E$6*'模板使用说明&amp;基础参数'!$E$12,IF(K786="修改",I786*'模板使用说明&amp;基础参数'!$E$6*'模板使用说明&amp;基础参数'!$E$11,I786*'模板使用说明&amp;基础参数'!$E$6*'模板使用说明&amp;基础参数'!$E$10)),IF(K786="删除",I786*'模板使用说明&amp;基础参数'!$E$7*'模板使用说明&amp;基础参数'!$E$12,IF(K786="修改",I786*'模板使用说明&amp;基础参数'!$E$7*'模板使用说明&amp;基础参数'!$E$11,I786*'模板使用说明&amp;基础参数'!$E$7*'模板使用说明&amp;基础参数'!$E$10)))))</f>
        <v>1.86666666666666</v>
      </c>
      <c r="M786" s="95"/>
      <c r="N786" s="101"/>
      <c r="O786" s="101"/>
    </row>
    <row r="787" s="70" customFormat="1" ht="25" customHeight="1" spans="1:15">
      <c r="A787" s="93">
        <v>782</v>
      </c>
      <c r="B787" s="94" t="s">
        <v>72</v>
      </c>
      <c r="C787" s="90" t="s">
        <v>129</v>
      </c>
      <c r="D787" s="95" t="s">
        <v>130</v>
      </c>
      <c r="E787" s="95" t="s">
        <v>130</v>
      </c>
      <c r="F787" s="90" t="s">
        <v>1664</v>
      </c>
      <c r="G787" s="95" t="s">
        <v>1665</v>
      </c>
      <c r="H787" s="93" t="s">
        <v>135</v>
      </c>
      <c r="I787" s="96">
        <f>IF(H787="ILF",IF($C$1="预估功能点",'模板使用说明&amp;基础参数'!$E$15,7),IF(H787="EIF",IF($C$1="预估功能点",'模板使用说明&amp;基础参数'!$E$16,5),IF(H787="EI",IF($C$1="预估功能点",'模板使用说明&amp;基础参数'!$E$17,'模板使用说明&amp;基础参数'!$E$24),IF(H787="EO",IF($C$1="预估功能点",'模板使用说明&amp;基础参数'!$E$18,'模板使用说明&amp;基础参数'!$E$25),IF(H787="EQ",IF($C$1="预估功能点",'模板使用说明&amp;基础参数'!$E$19,'模板使用说明&amp;基础参数'!$E$26),"")))))</f>
        <v>5</v>
      </c>
      <c r="J787" s="97" t="s">
        <v>38</v>
      </c>
      <c r="K787" s="97" t="s">
        <v>78</v>
      </c>
      <c r="L787" s="98">
        <f>IF(I787="","",IF(J787="高",IF(K787="删除",I787*'模板使用说明&amp;基础参数'!$E$5*'模板使用说明&amp;基础参数'!$E$12,IF(K787="修改",I787*'模板使用说明&amp;基础参数'!$E$5*'模板使用说明&amp;基础参数'!$E$11,I787*'模板使用说明&amp;基础参数'!$E$5*'模板使用说明&amp;基础参数'!$E$10)),IF(J787="中",IF(K787="删除",I787*'模板使用说明&amp;基础参数'!$E$6*'模板使用说明&amp;基础参数'!$E$12,IF(K787="修改",I787*'模板使用说明&amp;基础参数'!$E$6*'模板使用说明&amp;基础参数'!$E$11,I787*'模板使用说明&amp;基础参数'!$E$6*'模板使用说明&amp;基础参数'!$E$10)),IF(K787="删除",I787*'模板使用说明&amp;基础参数'!$E$7*'模板使用说明&amp;基础参数'!$E$12,IF(K787="修改",I787*'模板使用说明&amp;基础参数'!$E$7*'模板使用说明&amp;基础参数'!$E$11,I787*'模板使用说明&amp;基础参数'!$E$7*'模板使用说明&amp;基础参数'!$E$10)))))</f>
        <v>1.33333333333333</v>
      </c>
      <c r="M787" s="95"/>
      <c r="N787" s="101"/>
      <c r="O787" s="101"/>
    </row>
    <row r="788" s="70" customFormat="1" ht="25" customHeight="1" spans="1:15">
      <c r="A788" s="93">
        <v>783</v>
      </c>
      <c r="B788" s="94" t="s">
        <v>72</v>
      </c>
      <c r="C788" s="90" t="s">
        <v>129</v>
      </c>
      <c r="D788" s="95" t="s">
        <v>130</v>
      </c>
      <c r="E788" s="95" t="s">
        <v>130</v>
      </c>
      <c r="F788" s="90" t="s">
        <v>1666</v>
      </c>
      <c r="G788" s="95" t="s">
        <v>1667</v>
      </c>
      <c r="H788" s="93" t="s">
        <v>81</v>
      </c>
      <c r="I788" s="96">
        <f>IF(H788="ILF",IF($C$1="预估功能点",'模板使用说明&amp;基础参数'!$E$15,7),IF(H788="EIF",IF($C$1="预估功能点",'模板使用说明&amp;基础参数'!$E$16,5),IF(H788="EI",IF($C$1="预估功能点",'模板使用说明&amp;基础参数'!$E$17,'模板使用说明&amp;基础参数'!$E$24),IF(H788="EO",IF($C$1="预估功能点",'模板使用说明&amp;基础参数'!$E$18,'模板使用说明&amp;基础参数'!$E$25),IF(H788="EQ",IF($C$1="预估功能点",'模板使用说明&amp;基础参数'!$E$19,'模板使用说明&amp;基础参数'!$E$26),"")))))</f>
        <v>4</v>
      </c>
      <c r="J788" s="97" t="s">
        <v>38</v>
      </c>
      <c r="K788" s="97" t="s">
        <v>78</v>
      </c>
      <c r="L788" s="98">
        <f>IF(I788="","",IF(J788="高",IF(K788="删除",I788*'模板使用说明&amp;基础参数'!$E$5*'模板使用说明&amp;基础参数'!$E$12,IF(K788="修改",I788*'模板使用说明&amp;基础参数'!$E$5*'模板使用说明&amp;基础参数'!$E$11,I788*'模板使用说明&amp;基础参数'!$E$5*'模板使用说明&amp;基础参数'!$E$10)),IF(J788="中",IF(K788="删除",I788*'模板使用说明&amp;基础参数'!$E$6*'模板使用说明&amp;基础参数'!$E$12,IF(K788="修改",I788*'模板使用说明&amp;基础参数'!$E$6*'模板使用说明&amp;基础参数'!$E$11,I788*'模板使用说明&amp;基础参数'!$E$6*'模板使用说明&amp;基础参数'!$E$10)),IF(K788="删除",I788*'模板使用说明&amp;基础参数'!$E$7*'模板使用说明&amp;基础参数'!$E$12,IF(K788="修改",I788*'模板使用说明&amp;基础参数'!$E$7*'模板使用说明&amp;基础参数'!$E$11,I788*'模板使用说明&amp;基础参数'!$E$7*'模板使用说明&amp;基础参数'!$E$10)))))</f>
        <v>1.06666666666667</v>
      </c>
      <c r="M788" s="95"/>
      <c r="N788" s="101"/>
      <c r="O788" s="101"/>
    </row>
    <row r="789" s="70" customFormat="1" ht="25" customHeight="1" spans="1:15">
      <c r="A789" s="93">
        <v>784</v>
      </c>
      <c r="B789" s="94" t="s">
        <v>72</v>
      </c>
      <c r="C789" s="90" t="s">
        <v>129</v>
      </c>
      <c r="D789" s="95" t="s">
        <v>130</v>
      </c>
      <c r="E789" s="95" t="s">
        <v>130</v>
      </c>
      <c r="F789" s="90" t="s">
        <v>1668</v>
      </c>
      <c r="G789" s="95" t="s">
        <v>1669</v>
      </c>
      <c r="H789" s="93" t="s">
        <v>84</v>
      </c>
      <c r="I789" s="96">
        <f>IF(H789="ILF",IF($C$1="预估功能点",'模板使用说明&amp;基础参数'!$E$15,7),IF(H789="EIF",IF($C$1="预估功能点",'模板使用说明&amp;基础参数'!$E$16,5),IF(H789="EI",IF($C$1="预估功能点",'模板使用说明&amp;基础参数'!$E$17,'模板使用说明&amp;基础参数'!$E$24),IF(H789="EO",IF($C$1="预估功能点",'模板使用说明&amp;基础参数'!$E$18,'模板使用说明&amp;基础参数'!$E$25),IF(H789="EQ",IF($C$1="预估功能点",'模板使用说明&amp;基础参数'!$E$19,'模板使用说明&amp;基础参数'!$E$26),"")))))</f>
        <v>4</v>
      </c>
      <c r="J789" s="97" t="s">
        <v>38</v>
      </c>
      <c r="K789" s="97" t="s">
        <v>78</v>
      </c>
      <c r="L789" s="98">
        <f>IF(I789="","",IF(J789="高",IF(K789="删除",I789*'模板使用说明&amp;基础参数'!$E$5*'模板使用说明&amp;基础参数'!$E$12,IF(K789="修改",I789*'模板使用说明&amp;基础参数'!$E$5*'模板使用说明&amp;基础参数'!$E$11,I789*'模板使用说明&amp;基础参数'!$E$5*'模板使用说明&amp;基础参数'!$E$10)),IF(J789="中",IF(K789="删除",I789*'模板使用说明&amp;基础参数'!$E$6*'模板使用说明&amp;基础参数'!$E$12,IF(K789="修改",I789*'模板使用说明&amp;基础参数'!$E$6*'模板使用说明&amp;基础参数'!$E$11,I789*'模板使用说明&amp;基础参数'!$E$6*'模板使用说明&amp;基础参数'!$E$10)),IF(K789="删除",I789*'模板使用说明&amp;基础参数'!$E$7*'模板使用说明&amp;基础参数'!$E$12,IF(K789="修改",I789*'模板使用说明&amp;基础参数'!$E$7*'模板使用说明&amp;基础参数'!$E$11,I789*'模板使用说明&amp;基础参数'!$E$7*'模板使用说明&amp;基础参数'!$E$10)))))</f>
        <v>1.06666666666667</v>
      </c>
      <c r="M789" s="95"/>
      <c r="N789" s="101"/>
      <c r="O789" s="101"/>
    </row>
    <row r="790" s="70" customFormat="1" ht="25" customHeight="1" spans="1:15">
      <c r="A790" s="93">
        <v>785</v>
      </c>
      <c r="B790" s="94" t="s">
        <v>72</v>
      </c>
      <c r="C790" s="90" t="s">
        <v>129</v>
      </c>
      <c r="D790" s="95" t="s">
        <v>130</v>
      </c>
      <c r="E790" s="95" t="s">
        <v>130</v>
      </c>
      <c r="F790" s="90" t="s">
        <v>1670</v>
      </c>
      <c r="G790" s="95" t="s">
        <v>1671</v>
      </c>
      <c r="H790" s="93" t="s">
        <v>84</v>
      </c>
      <c r="I790" s="96">
        <f>IF(H790="ILF",IF($C$1="预估功能点",'模板使用说明&amp;基础参数'!$E$15,7),IF(H790="EIF",IF($C$1="预估功能点",'模板使用说明&amp;基础参数'!$E$16,5),IF(H790="EI",IF($C$1="预估功能点",'模板使用说明&amp;基础参数'!$E$17,'模板使用说明&amp;基础参数'!$E$24),IF(H790="EO",IF($C$1="预估功能点",'模板使用说明&amp;基础参数'!$E$18,'模板使用说明&amp;基础参数'!$E$25),IF(H790="EQ",IF($C$1="预估功能点",'模板使用说明&amp;基础参数'!$E$19,'模板使用说明&amp;基础参数'!$E$26),"")))))</f>
        <v>4</v>
      </c>
      <c r="J790" s="97" t="s">
        <v>38</v>
      </c>
      <c r="K790" s="97" t="s">
        <v>78</v>
      </c>
      <c r="L790" s="98">
        <f>IF(I790="","",IF(J790="高",IF(K790="删除",I790*'模板使用说明&amp;基础参数'!$E$5*'模板使用说明&amp;基础参数'!$E$12,IF(K790="修改",I790*'模板使用说明&amp;基础参数'!$E$5*'模板使用说明&amp;基础参数'!$E$11,I790*'模板使用说明&amp;基础参数'!$E$5*'模板使用说明&amp;基础参数'!$E$10)),IF(J790="中",IF(K790="删除",I790*'模板使用说明&amp;基础参数'!$E$6*'模板使用说明&amp;基础参数'!$E$12,IF(K790="修改",I790*'模板使用说明&amp;基础参数'!$E$6*'模板使用说明&amp;基础参数'!$E$11,I790*'模板使用说明&amp;基础参数'!$E$6*'模板使用说明&amp;基础参数'!$E$10)),IF(K790="删除",I790*'模板使用说明&amp;基础参数'!$E$7*'模板使用说明&amp;基础参数'!$E$12,IF(K790="修改",I790*'模板使用说明&amp;基础参数'!$E$7*'模板使用说明&amp;基础参数'!$E$11,I790*'模板使用说明&amp;基础参数'!$E$7*'模板使用说明&amp;基础参数'!$E$10)))))</f>
        <v>1.06666666666667</v>
      </c>
      <c r="M790" s="95"/>
      <c r="N790" s="101"/>
      <c r="O790" s="101"/>
    </row>
    <row r="791" s="70" customFormat="1" ht="25" customHeight="1" spans="1:15">
      <c r="A791" s="93">
        <v>786</v>
      </c>
      <c r="B791" s="94" t="s">
        <v>72</v>
      </c>
      <c r="C791" s="90" t="s">
        <v>129</v>
      </c>
      <c r="D791" s="95" t="s">
        <v>130</v>
      </c>
      <c r="E791" s="95" t="s">
        <v>130</v>
      </c>
      <c r="F791" s="90" t="s">
        <v>1672</v>
      </c>
      <c r="G791" s="95" t="s">
        <v>1673</v>
      </c>
      <c r="H791" s="93" t="s">
        <v>84</v>
      </c>
      <c r="I791" s="96">
        <f>IF(H791="ILF",IF($C$1="预估功能点",'模板使用说明&amp;基础参数'!$E$15,7),IF(H791="EIF",IF($C$1="预估功能点",'模板使用说明&amp;基础参数'!$E$16,5),IF(H791="EI",IF($C$1="预估功能点",'模板使用说明&amp;基础参数'!$E$17,'模板使用说明&amp;基础参数'!$E$24),IF(H791="EO",IF($C$1="预估功能点",'模板使用说明&amp;基础参数'!$E$18,'模板使用说明&amp;基础参数'!$E$25),IF(H791="EQ",IF($C$1="预估功能点",'模板使用说明&amp;基础参数'!$E$19,'模板使用说明&amp;基础参数'!$E$26),"")))))</f>
        <v>4</v>
      </c>
      <c r="J791" s="97" t="s">
        <v>38</v>
      </c>
      <c r="K791" s="97" t="s">
        <v>78</v>
      </c>
      <c r="L791" s="98">
        <f>IF(I791="","",IF(J791="高",IF(K791="删除",I791*'模板使用说明&amp;基础参数'!$E$5*'模板使用说明&amp;基础参数'!$E$12,IF(K791="修改",I791*'模板使用说明&amp;基础参数'!$E$5*'模板使用说明&amp;基础参数'!$E$11,I791*'模板使用说明&amp;基础参数'!$E$5*'模板使用说明&amp;基础参数'!$E$10)),IF(J791="中",IF(K791="删除",I791*'模板使用说明&amp;基础参数'!$E$6*'模板使用说明&amp;基础参数'!$E$12,IF(K791="修改",I791*'模板使用说明&amp;基础参数'!$E$6*'模板使用说明&amp;基础参数'!$E$11,I791*'模板使用说明&amp;基础参数'!$E$6*'模板使用说明&amp;基础参数'!$E$10)),IF(K791="删除",I791*'模板使用说明&amp;基础参数'!$E$7*'模板使用说明&amp;基础参数'!$E$12,IF(K791="修改",I791*'模板使用说明&amp;基础参数'!$E$7*'模板使用说明&amp;基础参数'!$E$11,I791*'模板使用说明&amp;基础参数'!$E$7*'模板使用说明&amp;基础参数'!$E$10)))))</f>
        <v>1.06666666666667</v>
      </c>
      <c r="M791" s="95"/>
      <c r="N791" s="101"/>
      <c r="O791" s="101"/>
    </row>
    <row r="792" s="70" customFormat="1" ht="25" customHeight="1" spans="1:15">
      <c r="A792" s="93">
        <v>787</v>
      </c>
      <c r="B792" s="94" t="s">
        <v>72</v>
      </c>
      <c r="C792" s="90" t="s">
        <v>144</v>
      </c>
      <c r="D792" s="95" t="s">
        <v>145</v>
      </c>
      <c r="E792" s="95" t="s">
        <v>145</v>
      </c>
      <c r="F792" s="90" t="s">
        <v>1674</v>
      </c>
      <c r="G792" s="95" t="s">
        <v>1675</v>
      </c>
      <c r="H792" s="93" t="s">
        <v>77</v>
      </c>
      <c r="I792" s="96">
        <f>IF(H792="ILF",IF($C$1="预估功能点",'模板使用说明&amp;基础参数'!$E$15,7),IF(H792="EIF",IF($C$1="预估功能点",'模板使用说明&amp;基础参数'!$E$16,5),IF(H792="EI",IF($C$1="预估功能点",'模板使用说明&amp;基础参数'!$E$17,'模板使用说明&amp;基础参数'!$E$24),IF(H792="EO",IF($C$1="预估功能点",'模板使用说明&amp;基础参数'!$E$18,'模板使用说明&amp;基础参数'!$E$25),IF(H792="EQ",IF($C$1="预估功能点",'模板使用说明&amp;基础参数'!$E$19,'模板使用说明&amp;基础参数'!$E$26),"")))))</f>
        <v>7</v>
      </c>
      <c r="J792" s="97" t="s">
        <v>38</v>
      </c>
      <c r="K792" s="97" t="s">
        <v>78</v>
      </c>
      <c r="L792" s="98">
        <f>IF(I792="","",IF(J792="高",IF(K792="删除",I792*'模板使用说明&amp;基础参数'!$E$5*'模板使用说明&amp;基础参数'!$E$12,IF(K792="修改",I792*'模板使用说明&amp;基础参数'!$E$5*'模板使用说明&amp;基础参数'!$E$11,I792*'模板使用说明&amp;基础参数'!$E$5*'模板使用说明&amp;基础参数'!$E$10)),IF(J792="中",IF(K792="删除",I792*'模板使用说明&amp;基础参数'!$E$6*'模板使用说明&amp;基础参数'!$E$12,IF(K792="修改",I792*'模板使用说明&amp;基础参数'!$E$6*'模板使用说明&amp;基础参数'!$E$11,I792*'模板使用说明&amp;基础参数'!$E$6*'模板使用说明&amp;基础参数'!$E$10)),IF(K792="删除",I792*'模板使用说明&amp;基础参数'!$E$7*'模板使用说明&amp;基础参数'!$E$12,IF(K792="修改",I792*'模板使用说明&amp;基础参数'!$E$7*'模板使用说明&amp;基础参数'!$E$11,I792*'模板使用说明&amp;基础参数'!$E$7*'模板使用说明&amp;基础参数'!$E$10)))))</f>
        <v>1.86666666666666</v>
      </c>
      <c r="M792" s="95"/>
      <c r="N792" s="101"/>
      <c r="O792" s="101"/>
    </row>
    <row r="793" s="70" customFormat="1" ht="25" customHeight="1" spans="1:15">
      <c r="A793" s="93">
        <v>788</v>
      </c>
      <c r="B793" s="94" t="s">
        <v>72</v>
      </c>
      <c r="C793" s="90" t="s">
        <v>144</v>
      </c>
      <c r="D793" s="95" t="s">
        <v>145</v>
      </c>
      <c r="E793" s="95" t="s">
        <v>145</v>
      </c>
      <c r="F793" s="90" t="s">
        <v>1676</v>
      </c>
      <c r="G793" s="95" t="s">
        <v>1677</v>
      </c>
      <c r="H793" s="93" t="s">
        <v>81</v>
      </c>
      <c r="I793" s="96">
        <f>IF(H793="ILF",IF($C$1="预估功能点",'模板使用说明&amp;基础参数'!$E$15,7),IF(H793="EIF",IF($C$1="预估功能点",'模板使用说明&amp;基础参数'!$E$16,5),IF(H793="EI",IF($C$1="预估功能点",'模板使用说明&amp;基础参数'!$E$17,'模板使用说明&amp;基础参数'!$E$24),IF(H793="EO",IF($C$1="预估功能点",'模板使用说明&amp;基础参数'!$E$18,'模板使用说明&amp;基础参数'!$E$25),IF(H793="EQ",IF($C$1="预估功能点",'模板使用说明&amp;基础参数'!$E$19,'模板使用说明&amp;基础参数'!$E$26),"")))))</f>
        <v>4</v>
      </c>
      <c r="J793" s="97" t="s">
        <v>38</v>
      </c>
      <c r="K793" s="97" t="s">
        <v>78</v>
      </c>
      <c r="L793" s="98">
        <f>IF(I793="","",IF(J793="高",IF(K793="删除",I793*'模板使用说明&amp;基础参数'!$E$5*'模板使用说明&amp;基础参数'!$E$12,IF(K793="修改",I793*'模板使用说明&amp;基础参数'!$E$5*'模板使用说明&amp;基础参数'!$E$11,I793*'模板使用说明&amp;基础参数'!$E$5*'模板使用说明&amp;基础参数'!$E$10)),IF(J793="中",IF(K793="删除",I793*'模板使用说明&amp;基础参数'!$E$6*'模板使用说明&amp;基础参数'!$E$12,IF(K793="修改",I793*'模板使用说明&amp;基础参数'!$E$6*'模板使用说明&amp;基础参数'!$E$11,I793*'模板使用说明&amp;基础参数'!$E$6*'模板使用说明&amp;基础参数'!$E$10)),IF(K793="删除",I793*'模板使用说明&amp;基础参数'!$E$7*'模板使用说明&amp;基础参数'!$E$12,IF(K793="修改",I793*'模板使用说明&amp;基础参数'!$E$7*'模板使用说明&amp;基础参数'!$E$11,I793*'模板使用说明&amp;基础参数'!$E$7*'模板使用说明&amp;基础参数'!$E$10)))))</f>
        <v>1.06666666666667</v>
      </c>
      <c r="M793" s="95"/>
      <c r="N793" s="101"/>
      <c r="O793" s="101"/>
    </row>
    <row r="794" s="70" customFormat="1" ht="25" customHeight="1" spans="1:15">
      <c r="A794" s="93">
        <v>789</v>
      </c>
      <c r="B794" s="94" t="s">
        <v>72</v>
      </c>
      <c r="C794" s="90" t="s">
        <v>144</v>
      </c>
      <c r="D794" s="95" t="s">
        <v>145</v>
      </c>
      <c r="E794" s="95" t="s">
        <v>145</v>
      </c>
      <c r="F794" s="90" t="s">
        <v>1678</v>
      </c>
      <c r="G794" s="95" t="s">
        <v>1679</v>
      </c>
      <c r="H794" s="93" t="s">
        <v>84</v>
      </c>
      <c r="I794" s="96">
        <f>IF(H794="ILF",IF($C$1="预估功能点",'模板使用说明&amp;基础参数'!$E$15,7),IF(H794="EIF",IF($C$1="预估功能点",'模板使用说明&amp;基础参数'!$E$16,5),IF(H794="EI",IF($C$1="预估功能点",'模板使用说明&amp;基础参数'!$E$17,'模板使用说明&amp;基础参数'!$E$24),IF(H794="EO",IF($C$1="预估功能点",'模板使用说明&amp;基础参数'!$E$18,'模板使用说明&amp;基础参数'!$E$25),IF(H794="EQ",IF($C$1="预估功能点",'模板使用说明&amp;基础参数'!$E$19,'模板使用说明&amp;基础参数'!$E$26),"")))))</f>
        <v>4</v>
      </c>
      <c r="J794" s="97" t="s">
        <v>38</v>
      </c>
      <c r="K794" s="97" t="s">
        <v>78</v>
      </c>
      <c r="L794" s="98">
        <f>IF(I794="","",IF(J794="高",IF(K794="删除",I794*'模板使用说明&amp;基础参数'!$E$5*'模板使用说明&amp;基础参数'!$E$12,IF(K794="修改",I794*'模板使用说明&amp;基础参数'!$E$5*'模板使用说明&amp;基础参数'!$E$11,I794*'模板使用说明&amp;基础参数'!$E$5*'模板使用说明&amp;基础参数'!$E$10)),IF(J794="中",IF(K794="删除",I794*'模板使用说明&amp;基础参数'!$E$6*'模板使用说明&amp;基础参数'!$E$12,IF(K794="修改",I794*'模板使用说明&amp;基础参数'!$E$6*'模板使用说明&amp;基础参数'!$E$11,I794*'模板使用说明&amp;基础参数'!$E$6*'模板使用说明&amp;基础参数'!$E$10)),IF(K794="删除",I794*'模板使用说明&amp;基础参数'!$E$7*'模板使用说明&amp;基础参数'!$E$12,IF(K794="修改",I794*'模板使用说明&amp;基础参数'!$E$7*'模板使用说明&amp;基础参数'!$E$11,I794*'模板使用说明&amp;基础参数'!$E$7*'模板使用说明&amp;基础参数'!$E$10)))))</f>
        <v>1.06666666666667</v>
      </c>
      <c r="M794" s="95"/>
      <c r="N794" s="101"/>
      <c r="O794" s="101"/>
    </row>
    <row r="795" s="70" customFormat="1" ht="25" customHeight="1" spans="1:15">
      <c r="A795" s="93">
        <v>790</v>
      </c>
      <c r="B795" s="94" t="s">
        <v>72</v>
      </c>
      <c r="C795" s="90" t="s">
        <v>144</v>
      </c>
      <c r="D795" s="95" t="s">
        <v>145</v>
      </c>
      <c r="E795" s="95" t="s">
        <v>145</v>
      </c>
      <c r="F795" s="90" t="s">
        <v>1680</v>
      </c>
      <c r="G795" s="95" t="s">
        <v>1681</v>
      </c>
      <c r="H795" s="93" t="s">
        <v>84</v>
      </c>
      <c r="I795" s="96">
        <f>IF(H795="ILF",IF($C$1="预估功能点",'模板使用说明&amp;基础参数'!$E$15,7),IF(H795="EIF",IF($C$1="预估功能点",'模板使用说明&amp;基础参数'!$E$16,5),IF(H795="EI",IF($C$1="预估功能点",'模板使用说明&amp;基础参数'!$E$17,'模板使用说明&amp;基础参数'!$E$24),IF(H795="EO",IF($C$1="预估功能点",'模板使用说明&amp;基础参数'!$E$18,'模板使用说明&amp;基础参数'!$E$25),IF(H795="EQ",IF($C$1="预估功能点",'模板使用说明&amp;基础参数'!$E$19,'模板使用说明&amp;基础参数'!$E$26),"")))))</f>
        <v>4</v>
      </c>
      <c r="J795" s="97" t="s">
        <v>38</v>
      </c>
      <c r="K795" s="97" t="s">
        <v>78</v>
      </c>
      <c r="L795" s="98">
        <f>IF(I795="","",IF(J795="高",IF(K795="删除",I795*'模板使用说明&amp;基础参数'!$E$5*'模板使用说明&amp;基础参数'!$E$12,IF(K795="修改",I795*'模板使用说明&amp;基础参数'!$E$5*'模板使用说明&amp;基础参数'!$E$11,I795*'模板使用说明&amp;基础参数'!$E$5*'模板使用说明&amp;基础参数'!$E$10)),IF(J795="中",IF(K795="删除",I795*'模板使用说明&amp;基础参数'!$E$6*'模板使用说明&amp;基础参数'!$E$12,IF(K795="修改",I795*'模板使用说明&amp;基础参数'!$E$6*'模板使用说明&amp;基础参数'!$E$11,I795*'模板使用说明&amp;基础参数'!$E$6*'模板使用说明&amp;基础参数'!$E$10)),IF(K795="删除",I795*'模板使用说明&amp;基础参数'!$E$7*'模板使用说明&amp;基础参数'!$E$12,IF(K795="修改",I795*'模板使用说明&amp;基础参数'!$E$7*'模板使用说明&amp;基础参数'!$E$11,I795*'模板使用说明&amp;基础参数'!$E$7*'模板使用说明&amp;基础参数'!$E$10)))))</f>
        <v>1.06666666666667</v>
      </c>
      <c r="M795" s="95"/>
      <c r="N795" s="101"/>
      <c r="O795" s="101"/>
    </row>
    <row r="796" s="70" customFormat="1" ht="25" customHeight="1" spans="1:15">
      <c r="A796" s="93">
        <v>791</v>
      </c>
      <c r="B796" s="94" t="s">
        <v>72</v>
      </c>
      <c r="C796" s="90" t="s">
        <v>144</v>
      </c>
      <c r="D796" s="95" t="s">
        <v>145</v>
      </c>
      <c r="E796" s="95" t="s">
        <v>145</v>
      </c>
      <c r="F796" s="90" t="s">
        <v>1682</v>
      </c>
      <c r="G796" s="95" t="s">
        <v>1683</v>
      </c>
      <c r="H796" s="93" t="s">
        <v>77</v>
      </c>
      <c r="I796" s="96">
        <f>IF(H796="ILF",IF($C$1="预估功能点",'模板使用说明&amp;基础参数'!$E$15,7),IF(H796="EIF",IF($C$1="预估功能点",'模板使用说明&amp;基础参数'!$E$16,5),IF(H796="EI",IF($C$1="预估功能点",'模板使用说明&amp;基础参数'!$E$17,'模板使用说明&amp;基础参数'!$E$24),IF(H796="EO",IF($C$1="预估功能点",'模板使用说明&amp;基础参数'!$E$18,'模板使用说明&amp;基础参数'!$E$25),IF(H796="EQ",IF($C$1="预估功能点",'模板使用说明&amp;基础参数'!$E$19,'模板使用说明&amp;基础参数'!$E$26),"")))))</f>
        <v>7</v>
      </c>
      <c r="J796" s="97" t="s">
        <v>38</v>
      </c>
      <c r="K796" s="97" t="s">
        <v>78</v>
      </c>
      <c r="L796" s="98">
        <f>IF(I796="","",IF(J796="高",IF(K796="删除",I796*'模板使用说明&amp;基础参数'!$E$5*'模板使用说明&amp;基础参数'!$E$12,IF(K796="修改",I796*'模板使用说明&amp;基础参数'!$E$5*'模板使用说明&amp;基础参数'!$E$11,I796*'模板使用说明&amp;基础参数'!$E$5*'模板使用说明&amp;基础参数'!$E$10)),IF(J796="中",IF(K796="删除",I796*'模板使用说明&amp;基础参数'!$E$6*'模板使用说明&amp;基础参数'!$E$12,IF(K796="修改",I796*'模板使用说明&amp;基础参数'!$E$6*'模板使用说明&amp;基础参数'!$E$11,I796*'模板使用说明&amp;基础参数'!$E$6*'模板使用说明&amp;基础参数'!$E$10)),IF(K796="删除",I796*'模板使用说明&amp;基础参数'!$E$7*'模板使用说明&amp;基础参数'!$E$12,IF(K796="修改",I796*'模板使用说明&amp;基础参数'!$E$7*'模板使用说明&amp;基础参数'!$E$11,I796*'模板使用说明&amp;基础参数'!$E$7*'模板使用说明&amp;基础参数'!$E$10)))))</f>
        <v>1.86666666666666</v>
      </c>
      <c r="M796" s="95"/>
      <c r="N796" s="101"/>
      <c r="O796" s="101"/>
    </row>
    <row r="797" s="70" customFormat="1" ht="25" customHeight="1" spans="1:15">
      <c r="A797" s="93">
        <v>792</v>
      </c>
      <c r="B797" s="94" t="s">
        <v>72</v>
      </c>
      <c r="C797" s="90" t="s">
        <v>144</v>
      </c>
      <c r="D797" s="95" t="s">
        <v>145</v>
      </c>
      <c r="E797" s="95" t="s">
        <v>145</v>
      </c>
      <c r="F797" s="90" t="s">
        <v>1684</v>
      </c>
      <c r="G797" s="95" t="s">
        <v>1685</v>
      </c>
      <c r="H797" s="93" t="s">
        <v>81</v>
      </c>
      <c r="I797" s="96">
        <f>IF(H797="ILF",IF($C$1="预估功能点",'模板使用说明&amp;基础参数'!$E$15,7),IF(H797="EIF",IF($C$1="预估功能点",'模板使用说明&amp;基础参数'!$E$16,5),IF(H797="EI",IF($C$1="预估功能点",'模板使用说明&amp;基础参数'!$E$17,'模板使用说明&amp;基础参数'!$E$24),IF(H797="EO",IF($C$1="预估功能点",'模板使用说明&amp;基础参数'!$E$18,'模板使用说明&amp;基础参数'!$E$25),IF(H797="EQ",IF($C$1="预估功能点",'模板使用说明&amp;基础参数'!$E$19,'模板使用说明&amp;基础参数'!$E$26),"")))))</f>
        <v>4</v>
      </c>
      <c r="J797" s="97" t="s">
        <v>38</v>
      </c>
      <c r="K797" s="97" t="s">
        <v>78</v>
      </c>
      <c r="L797" s="98">
        <f>IF(I797="","",IF(J797="高",IF(K797="删除",I797*'模板使用说明&amp;基础参数'!$E$5*'模板使用说明&amp;基础参数'!$E$12,IF(K797="修改",I797*'模板使用说明&amp;基础参数'!$E$5*'模板使用说明&amp;基础参数'!$E$11,I797*'模板使用说明&amp;基础参数'!$E$5*'模板使用说明&amp;基础参数'!$E$10)),IF(J797="中",IF(K797="删除",I797*'模板使用说明&amp;基础参数'!$E$6*'模板使用说明&amp;基础参数'!$E$12,IF(K797="修改",I797*'模板使用说明&amp;基础参数'!$E$6*'模板使用说明&amp;基础参数'!$E$11,I797*'模板使用说明&amp;基础参数'!$E$6*'模板使用说明&amp;基础参数'!$E$10)),IF(K797="删除",I797*'模板使用说明&amp;基础参数'!$E$7*'模板使用说明&amp;基础参数'!$E$12,IF(K797="修改",I797*'模板使用说明&amp;基础参数'!$E$7*'模板使用说明&amp;基础参数'!$E$11,I797*'模板使用说明&amp;基础参数'!$E$7*'模板使用说明&amp;基础参数'!$E$10)))))</f>
        <v>1.06666666666667</v>
      </c>
      <c r="M797" s="95"/>
      <c r="N797" s="101"/>
      <c r="O797" s="101"/>
    </row>
    <row r="798" s="70" customFormat="1" ht="25" customHeight="1" spans="1:15">
      <c r="A798" s="93">
        <v>793</v>
      </c>
      <c r="B798" s="94" t="s">
        <v>72</v>
      </c>
      <c r="C798" s="90" t="s">
        <v>144</v>
      </c>
      <c r="D798" s="95" t="s">
        <v>145</v>
      </c>
      <c r="E798" s="95" t="s">
        <v>145</v>
      </c>
      <c r="F798" s="90" t="s">
        <v>1686</v>
      </c>
      <c r="G798" s="95" t="s">
        <v>1687</v>
      </c>
      <c r="H798" s="93" t="s">
        <v>84</v>
      </c>
      <c r="I798" s="96">
        <f>IF(H798="ILF",IF($C$1="预估功能点",'模板使用说明&amp;基础参数'!$E$15,7),IF(H798="EIF",IF($C$1="预估功能点",'模板使用说明&amp;基础参数'!$E$16,5),IF(H798="EI",IF($C$1="预估功能点",'模板使用说明&amp;基础参数'!$E$17,'模板使用说明&amp;基础参数'!$E$24),IF(H798="EO",IF($C$1="预估功能点",'模板使用说明&amp;基础参数'!$E$18,'模板使用说明&amp;基础参数'!$E$25),IF(H798="EQ",IF($C$1="预估功能点",'模板使用说明&amp;基础参数'!$E$19,'模板使用说明&amp;基础参数'!$E$26),"")))))</f>
        <v>4</v>
      </c>
      <c r="J798" s="97" t="s">
        <v>38</v>
      </c>
      <c r="K798" s="97" t="s">
        <v>78</v>
      </c>
      <c r="L798" s="98">
        <f>IF(I798="","",IF(J798="高",IF(K798="删除",I798*'模板使用说明&amp;基础参数'!$E$5*'模板使用说明&amp;基础参数'!$E$12,IF(K798="修改",I798*'模板使用说明&amp;基础参数'!$E$5*'模板使用说明&amp;基础参数'!$E$11,I798*'模板使用说明&amp;基础参数'!$E$5*'模板使用说明&amp;基础参数'!$E$10)),IF(J798="中",IF(K798="删除",I798*'模板使用说明&amp;基础参数'!$E$6*'模板使用说明&amp;基础参数'!$E$12,IF(K798="修改",I798*'模板使用说明&amp;基础参数'!$E$6*'模板使用说明&amp;基础参数'!$E$11,I798*'模板使用说明&amp;基础参数'!$E$6*'模板使用说明&amp;基础参数'!$E$10)),IF(K798="删除",I798*'模板使用说明&amp;基础参数'!$E$7*'模板使用说明&amp;基础参数'!$E$12,IF(K798="修改",I798*'模板使用说明&amp;基础参数'!$E$7*'模板使用说明&amp;基础参数'!$E$11,I798*'模板使用说明&amp;基础参数'!$E$7*'模板使用说明&amp;基础参数'!$E$10)))))</f>
        <v>1.06666666666667</v>
      </c>
      <c r="M798" s="95"/>
      <c r="N798" s="101"/>
      <c r="O798" s="101"/>
    </row>
    <row r="799" s="70" customFormat="1" ht="25" customHeight="1" spans="1:15">
      <c r="A799" s="93">
        <v>794</v>
      </c>
      <c r="B799" s="94" t="s">
        <v>72</v>
      </c>
      <c r="C799" s="90" t="s">
        <v>144</v>
      </c>
      <c r="D799" s="95" t="s">
        <v>145</v>
      </c>
      <c r="E799" s="95" t="s">
        <v>145</v>
      </c>
      <c r="F799" s="90" t="s">
        <v>1688</v>
      </c>
      <c r="G799" s="95" t="s">
        <v>1689</v>
      </c>
      <c r="H799" s="93" t="s">
        <v>84</v>
      </c>
      <c r="I799" s="96">
        <f>IF(H799="ILF",IF($C$1="预估功能点",'模板使用说明&amp;基础参数'!$E$15,7),IF(H799="EIF",IF($C$1="预估功能点",'模板使用说明&amp;基础参数'!$E$16,5),IF(H799="EI",IF($C$1="预估功能点",'模板使用说明&amp;基础参数'!$E$17,'模板使用说明&amp;基础参数'!$E$24),IF(H799="EO",IF($C$1="预估功能点",'模板使用说明&amp;基础参数'!$E$18,'模板使用说明&amp;基础参数'!$E$25),IF(H799="EQ",IF($C$1="预估功能点",'模板使用说明&amp;基础参数'!$E$19,'模板使用说明&amp;基础参数'!$E$26),"")))))</f>
        <v>4</v>
      </c>
      <c r="J799" s="97" t="s">
        <v>38</v>
      </c>
      <c r="K799" s="97" t="s">
        <v>78</v>
      </c>
      <c r="L799" s="98">
        <f>IF(I799="","",IF(J799="高",IF(K799="删除",I799*'模板使用说明&amp;基础参数'!$E$5*'模板使用说明&amp;基础参数'!$E$12,IF(K799="修改",I799*'模板使用说明&amp;基础参数'!$E$5*'模板使用说明&amp;基础参数'!$E$11,I799*'模板使用说明&amp;基础参数'!$E$5*'模板使用说明&amp;基础参数'!$E$10)),IF(J799="中",IF(K799="删除",I799*'模板使用说明&amp;基础参数'!$E$6*'模板使用说明&amp;基础参数'!$E$12,IF(K799="修改",I799*'模板使用说明&amp;基础参数'!$E$6*'模板使用说明&amp;基础参数'!$E$11,I799*'模板使用说明&amp;基础参数'!$E$6*'模板使用说明&amp;基础参数'!$E$10)),IF(K799="删除",I799*'模板使用说明&amp;基础参数'!$E$7*'模板使用说明&amp;基础参数'!$E$12,IF(K799="修改",I799*'模板使用说明&amp;基础参数'!$E$7*'模板使用说明&amp;基础参数'!$E$11,I799*'模板使用说明&amp;基础参数'!$E$7*'模板使用说明&amp;基础参数'!$E$10)))))</f>
        <v>1.06666666666667</v>
      </c>
      <c r="M799" s="95"/>
      <c r="N799" s="101"/>
      <c r="O799" s="101"/>
    </row>
  </sheetData>
  <autoFilter xmlns:etc="http://www.wps.cn/officeDocument/2017/etCustomData" ref="A5:O799" etc:filterBottomFollowUsedRange="0">
    <extLst/>
  </autoFilter>
  <mergeCells count="11">
    <mergeCell ref="A1:B1"/>
    <mergeCell ref="H1:I1"/>
    <mergeCell ref="J1:O1"/>
    <mergeCell ref="A2:B2"/>
    <mergeCell ref="H2:I2"/>
    <mergeCell ref="J2:K2"/>
    <mergeCell ref="A3:B3"/>
    <mergeCell ref="H3:I3"/>
    <mergeCell ref="J3:K3"/>
    <mergeCell ref="D2:D3"/>
    <mergeCell ref="E2:E3"/>
  </mergeCells>
  <dataValidations count="4">
    <dataValidation type="list" allowBlank="1" showInputMessage="1" showErrorMessage="1" sqref="C1">
      <formula1>"预估功能点,估算功能点"</formula1>
    </dataValidation>
    <dataValidation type="list" allowBlank="1" showInputMessage="1" showErrorMessage="1" sqref="H6:H799">
      <formula1>"ILF,EIF,EI,EO,EQ"</formula1>
    </dataValidation>
    <dataValidation type="list" allowBlank="1" showInputMessage="1" showErrorMessage="1" sqref="J6:J799">
      <formula1>"高,中,低"</formula1>
    </dataValidation>
    <dataValidation type="list" allowBlank="1" showInputMessage="1" showErrorMessage="1" sqref="K6:K799">
      <formula1>"新增,修改,删除"</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workbookViewId="0">
      <selection activeCell="D49" sqref="D49"/>
    </sheetView>
  </sheetViews>
  <sheetFormatPr defaultColWidth="9" defaultRowHeight="14.25" outlineLevelCol="6"/>
  <cols>
    <col min="1" max="1" width="10.5083333333333" style="20" customWidth="1"/>
    <col min="2" max="2" width="24.0833333333333" style="20" customWidth="1"/>
    <col min="3" max="3" width="17.75" style="20" customWidth="1"/>
    <col min="4" max="4" width="44.5083333333333" style="20" customWidth="1"/>
    <col min="5" max="5" width="4.83333333333333" style="20" customWidth="1"/>
    <col min="6" max="7" width="11" style="20" customWidth="1"/>
    <col min="8" max="8" width="12.8" style="20"/>
    <col min="9" max="16384" width="9" style="20"/>
  </cols>
  <sheetData>
    <row r="1" spans="1:7">
      <c r="A1" s="21" t="s">
        <v>1690</v>
      </c>
      <c r="B1" s="22"/>
      <c r="C1" s="23">
        <f>ROUND(规模估算!L3,2)</f>
        <v>977.33</v>
      </c>
      <c r="D1" s="24"/>
    </row>
    <row r="2" spans="1:7">
      <c r="A2" s="21" t="s">
        <v>1691</v>
      </c>
      <c r="B2" s="22"/>
      <c r="C2" s="23">
        <f>项目特征!D1</f>
        <v>1</v>
      </c>
      <c r="D2" s="25" t="str">
        <f>项目特征!C1</f>
        <v>项目完成及运维阶段</v>
      </c>
    </row>
    <row r="3" spans="1:7">
      <c r="A3" s="26" t="s">
        <v>1692</v>
      </c>
      <c r="B3" s="27"/>
      <c r="C3" s="28">
        <f>ROUND(C1*C2,2)</f>
        <v>977.33</v>
      </c>
      <c r="D3" s="11"/>
    </row>
    <row r="4" spans="1:7">
      <c r="A4" s="29" t="s">
        <v>1693</v>
      </c>
      <c r="B4" s="30"/>
      <c r="C4" s="31">
        <f>IFERROR(ROUND(C5*0.8,2),"")</f>
        <v>9.11</v>
      </c>
      <c r="D4" s="25" t="str">
        <f>"电信行业"&amp;项目特征!C2&amp;"基准生产率乐观值"</f>
        <v>电信行业电信类系统基准生产率乐观值</v>
      </c>
    </row>
    <row r="5" spans="1:7">
      <c r="A5" s="32"/>
      <c r="B5" s="33"/>
      <c r="C5" s="31">
        <f>项目特征!D2*1.06</f>
        <v>11.3844</v>
      </c>
      <c r="D5" s="25" t="str">
        <f>"电信行业"&amp;项目特征!C2&amp;"基准生产率中位值"</f>
        <v>电信行业电信类系统基准生产率中位值</v>
      </c>
    </row>
    <row r="6" spans="1:7">
      <c r="A6" s="34"/>
      <c r="B6" s="35"/>
      <c r="C6" s="31">
        <f>IFERROR(ROUND(C5*1.2,2),"")</f>
        <v>13.66</v>
      </c>
      <c r="D6" s="25" t="str">
        <f>"电信行业"&amp;项目特征!C2&amp;"基准生产率悲观值"</f>
        <v>电信行业电信类系统基准生产率悲观值</v>
      </c>
    </row>
    <row r="7" spans="1:7">
      <c r="A7" s="36" t="s">
        <v>1694</v>
      </c>
      <c r="B7" s="37"/>
      <c r="C7" s="23">
        <f>IFERROR(ROUND(C3*C4/8,2),"")</f>
        <v>1112.93</v>
      </c>
      <c r="D7" s="38" t="s">
        <v>1695</v>
      </c>
      <c r="G7" s="39"/>
    </row>
    <row r="8" spans="1:7">
      <c r="A8" s="40"/>
      <c r="B8" s="41"/>
      <c r="C8" s="23">
        <f>IFERROR(ROUND(C3*C5/8,2),"")</f>
        <v>1390.79</v>
      </c>
      <c r="D8" s="38" t="s">
        <v>1696</v>
      </c>
      <c r="G8" s="39"/>
    </row>
    <row r="9" spans="1:7">
      <c r="A9" s="42"/>
      <c r="B9" s="43"/>
      <c r="C9" s="23">
        <f>IFERROR(ROUND(C3*C6/8,2),"")</f>
        <v>1668.79</v>
      </c>
      <c r="D9" s="38" t="s">
        <v>1697</v>
      </c>
      <c r="G9" s="39"/>
    </row>
    <row r="10" spans="1:7">
      <c r="A10" s="44" t="s">
        <v>1698</v>
      </c>
      <c r="B10" s="22" t="s">
        <v>7</v>
      </c>
      <c r="C10" s="23">
        <f ca="1">1+0.025*SUM(项目特征!D3:项目特征!D6)</f>
        <v>1</v>
      </c>
      <c r="D10" s="24" t="s">
        <v>1699</v>
      </c>
    </row>
    <row r="11" spans="1:7">
      <c r="A11" s="45"/>
      <c r="B11" s="22" t="s">
        <v>20</v>
      </c>
      <c r="C11" s="23">
        <f>项目特征!D7</f>
        <v>1</v>
      </c>
      <c r="D11" s="24" t="s">
        <v>1699</v>
      </c>
    </row>
    <row r="12" spans="1:7">
      <c r="A12" s="45"/>
      <c r="B12" s="22" t="s">
        <v>23</v>
      </c>
      <c r="C12" s="23">
        <f>项目特征!D8</f>
        <v>1</v>
      </c>
      <c r="D12" s="24" t="s">
        <v>1699</v>
      </c>
    </row>
    <row r="13" spans="1:7">
      <c r="A13" s="45"/>
      <c r="B13" s="22" t="s">
        <v>26</v>
      </c>
      <c r="C13" s="23">
        <f>项目特征!D9</f>
        <v>0.8</v>
      </c>
      <c r="D13" s="25" t="str">
        <f>项目特征!C9</f>
        <v>为本行业开发过类似的软件</v>
      </c>
    </row>
    <row r="14" ht="27" spans="1:7">
      <c r="A14" s="46"/>
      <c r="B14" s="47" t="s">
        <v>1700</v>
      </c>
      <c r="C14" s="23">
        <f>IF(ISBLANK(C25),1,C18/C25)</f>
        <v>1</v>
      </c>
      <c r="D14" s="48" t="s">
        <v>1701</v>
      </c>
    </row>
    <row r="15" spans="1:7">
      <c r="A15" s="36" t="s">
        <v>1702</v>
      </c>
      <c r="B15" s="37"/>
      <c r="C15" s="49">
        <f ca="1">IFERROR(C7*C$10*C$11*C$12*C$13*C$14,"")</f>
        <v>890.344</v>
      </c>
      <c r="D15" s="38" t="s">
        <v>1695</v>
      </c>
    </row>
    <row r="16" spans="1:7">
      <c r="A16" s="40"/>
      <c r="B16" s="41"/>
      <c r="C16" s="50">
        <f ca="1" t="shared" ref="C16:C17" si="0">IFERROR(C8*C$10*C$11*C$12*C$13*C$14,"")</f>
        <v>1112.632</v>
      </c>
      <c r="D16" s="38" t="s">
        <v>1696</v>
      </c>
    </row>
    <row r="17" spans="1:7">
      <c r="A17" s="42"/>
      <c r="B17" s="43"/>
      <c r="C17" s="49">
        <f ca="1" t="shared" si="0"/>
        <v>1335.032</v>
      </c>
      <c r="D17" s="38" t="s">
        <v>1697</v>
      </c>
    </row>
    <row r="18" ht="27" spans="1:7">
      <c r="A18" s="21" t="s">
        <v>1703</v>
      </c>
      <c r="B18" s="22"/>
      <c r="C18" s="31">
        <f>ROUND(25922/21.75,2)</f>
        <v>1191.82</v>
      </c>
      <c r="D18" s="48" t="s">
        <v>1704</v>
      </c>
    </row>
    <row r="19" spans="1:7">
      <c r="A19" s="51" t="s">
        <v>1705</v>
      </c>
      <c r="B19" s="37"/>
      <c r="C19" s="49">
        <f ca="1">IFERROR(IF(ISBLANK(C$25),ROUND(C15*C$18,2),ROUND(C15*C$25,2)),"")</f>
        <v>1061129.79</v>
      </c>
      <c r="D19" s="38" t="s">
        <v>1695</v>
      </c>
    </row>
    <row r="20" spans="1:7">
      <c r="A20" s="40"/>
      <c r="B20" s="41"/>
      <c r="C20" s="52">
        <f ca="1">IFERROR(IF(ISBLANK(C$25),ROUND(C16*C$18,2),ROUND(C16*C$25,2)),"")</f>
        <v>1326057.07</v>
      </c>
      <c r="D20" s="38" t="s">
        <v>1696</v>
      </c>
      <c r="G20" s="53"/>
    </row>
    <row r="21" spans="1:7">
      <c r="A21" s="42"/>
      <c r="B21" s="43"/>
      <c r="C21" s="49">
        <f ca="1">IFERROR(IF(ISBLANK(C$25),ROUND(C17*C$18,2),ROUND(C17*C$25,2)),"")</f>
        <v>1591117.84</v>
      </c>
      <c r="D21" s="38" t="s">
        <v>1697</v>
      </c>
    </row>
    <row r="22" hidden="1" spans="1:7">
      <c r="A22" s="26" t="s">
        <v>1706</v>
      </c>
      <c r="B22" s="27"/>
      <c r="C22" s="54"/>
      <c r="D22" s="55"/>
    </row>
    <row r="23" hidden="1" spans="1:7">
      <c r="A23" s="26" t="s">
        <v>1707</v>
      </c>
      <c r="B23" s="27"/>
      <c r="C23" s="56" t="str">
        <f ca="1">IF(ISBLANK(C22),"",MIN(C16,C22))</f>
        <v/>
      </c>
      <c r="D23" s="55"/>
    </row>
    <row r="24" hidden="1" spans="1:7">
      <c r="A24" s="26" t="s">
        <v>1708</v>
      </c>
      <c r="B24" s="27"/>
      <c r="C24" s="57" t="str">
        <f ca="1">IFERROR((C22-C23)/C22,"")</f>
        <v/>
      </c>
      <c r="D24" s="55"/>
    </row>
    <row r="25" spans="1:7">
      <c r="A25" s="58" t="s">
        <v>1709</v>
      </c>
      <c r="B25" s="59"/>
      <c r="C25" s="60"/>
      <c r="D25" s="55" t="s">
        <v>1710</v>
      </c>
    </row>
    <row r="26" ht="40.5" customHeight="1" spans="1:7">
      <c r="A26" s="61" t="s">
        <v>1711</v>
      </c>
      <c r="B26" s="62"/>
      <c r="C26" s="60">
        <v>2915000</v>
      </c>
      <c r="D26" s="63" t="s">
        <v>1712</v>
      </c>
    </row>
    <row r="27" ht="40.5" customHeight="1" spans="1:7">
      <c r="A27" s="58" t="s">
        <v>1713</v>
      </c>
      <c r="B27" s="59"/>
      <c r="C27" s="60">
        <v>1</v>
      </c>
      <c r="D27" s="64" t="s">
        <v>1714</v>
      </c>
    </row>
    <row r="28" spans="1:7">
      <c r="A28" s="65" t="s">
        <v>1715</v>
      </c>
      <c r="B28" s="62"/>
      <c r="C28" s="66">
        <f ca="1">IF(ISBLANK(C26),ROUND(C20*C27,2),MIN(ROUND(C20*C27,2),C26))</f>
        <v>1326057.07</v>
      </c>
      <c r="D28" s="64" t="s">
        <v>1716</v>
      </c>
    </row>
    <row r="29" spans="1:7">
      <c r="A29" s="67" t="s">
        <v>1717</v>
      </c>
      <c r="B29" s="59"/>
      <c r="C29" s="68">
        <f ca="1">IFERROR((C26-C28)/C26,"")</f>
        <v>0.545091914236707</v>
      </c>
      <c r="D29" s="55"/>
    </row>
  </sheetData>
  <mergeCells count="17">
    <mergeCell ref="A1:B1"/>
    <mergeCell ref="A2:B2"/>
    <mergeCell ref="A3:B3"/>
    <mergeCell ref="A18:B18"/>
    <mergeCell ref="A22:B22"/>
    <mergeCell ref="A23:B23"/>
    <mergeCell ref="A24:B24"/>
    <mergeCell ref="A25:B25"/>
    <mergeCell ref="A26:B26"/>
    <mergeCell ref="A27:B27"/>
    <mergeCell ref="A28:B28"/>
    <mergeCell ref="A29:B29"/>
    <mergeCell ref="A10:A14"/>
    <mergeCell ref="A19:B21"/>
    <mergeCell ref="A4:B6"/>
    <mergeCell ref="A7:B9"/>
    <mergeCell ref="A15:B17"/>
  </mergeCells>
  <dataValidations count="1">
    <dataValidation type="list" allowBlank="1" showInputMessage="1" showErrorMessage="1" sqref="C27">
      <formula1>"1,1.05,1.1"</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54"/>
  <sheetViews>
    <sheetView workbookViewId="0">
      <selection activeCell="M22" sqref="M22"/>
    </sheetView>
  </sheetViews>
  <sheetFormatPr defaultColWidth="9" defaultRowHeight="13.5"/>
  <cols>
    <col min="1" max="2" width="10.8333333333333" style="2" customWidth="1"/>
    <col min="3" max="3" width="20.8333333333333" style="2" customWidth="1"/>
    <col min="4" max="4" width="10.8333333333333" style="2" hidden="1" customWidth="1"/>
    <col min="5" max="5" width="15.8333333333333" style="2" hidden="1" customWidth="1"/>
    <col min="6" max="7" width="10.8333333333333" style="2" hidden="1" customWidth="1"/>
    <col min="8" max="8" width="60.8333333333333" style="2" hidden="1" customWidth="1"/>
    <col min="9" max="9" width="10.8333333333333" style="2" hidden="1" customWidth="1"/>
    <col min="10" max="10" width="4.83333333333333" style="2" customWidth="1"/>
    <col min="11" max="16384" width="9" style="2"/>
  </cols>
  <sheetData>
    <row r="2" spans="1:9">
      <c r="A2" s="2" t="s">
        <v>1718</v>
      </c>
    </row>
    <row r="3" spans="1:9">
      <c r="A3" s="2" t="s">
        <v>1719</v>
      </c>
    </row>
    <row r="4" spans="1:9">
      <c r="A4" s="3" t="s">
        <v>1720</v>
      </c>
      <c r="B4" s="2" t="s">
        <v>1721</v>
      </c>
      <c r="D4" s="4" t="s">
        <v>1722</v>
      </c>
      <c r="E4" s="5"/>
    </row>
    <row r="5" spans="1:9">
      <c r="A5" s="6" t="s">
        <v>1723</v>
      </c>
      <c r="B5" s="2" t="s">
        <v>1724</v>
      </c>
      <c r="D5" s="7" t="s">
        <v>38</v>
      </c>
      <c r="E5" s="8">
        <v>0.333333333333333</v>
      </c>
    </row>
    <row r="6" spans="1:9">
      <c r="A6" s="9" t="s">
        <v>1725</v>
      </c>
      <c r="B6" s="2" t="s">
        <v>1726</v>
      </c>
      <c r="D6" s="7" t="s">
        <v>34</v>
      </c>
      <c r="E6" s="8">
        <v>0.666666666666667</v>
      </c>
    </row>
    <row r="7" spans="1:9">
      <c r="A7" s="10" t="s">
        <v>1727</v>
      </c>
      <c r="B7" s="2" t="s">
        <v>1728</v>
      </c>
      <c r="D7" s="7" t="s">
        <v>31</v>
      </c>
      <c r="E7" s="8">
        <v>1</v>
      </c>
    </row>
    <row r="8" spans="1:9">
      <c r="E8" s="11"/>
    </row>
    <row r="9" spans="1:9">
      <c r="D9" s="4" t="s">
        <v>1729</v>
      </c>
      <c r="E9" s="5"/>
      <c r="G9" s="12" t="s">
        <v>4</v>
      </c>
      <c r="H9" s="12" t="s">
        <v>1730</v>
      </c>
      <c r="I9" s="12" t="s">
        <v>1698</v>
      </c>
    </row>
    <row r="10" ht="40.5" spans="1:9">
      <c r="D10" s="7" t="s">
        <v>1731</v>
      </c>
      <c r="E10" s="8">
        <v>1</v>
      </c>
      <c r="G10" s="13" t="s">
        <v>5</v>
      </c>
      <c r="H10" s="14" t="s">
        <v>1732</v>
      </c>
      <c r="I10" s="15">
        <v>10.74</v>
      </c>
    </row>
    <row r="11" ht="40.5" spans="1:9">
      <c r="D11" s="7" t="s">
        <v>78</v>
      </c>
      <c r="E11" s="8">
        <v>0.8</v>
      </c>
      <c r="G11" s="13" t="s">
        <v>1733</v>
      </c>
      <c r="H11" s="14" t="s">
        <v>1734</v>
      </c>
      <c r="I11" s="15">
        <v>8.7</v>
      </c>
    </row>
    <row r="12" spans="1:9">
      <c r="D12" s="7" t="s">
        <v>1735</v>
      </c>
      <c r="E12" s="8">
        <v>0.2</v>
      </c>
      <c r="G12" s="13"/>
      <c r="H12" s="14"/>
      <c r="I12" s="16"/>
    </row>
    <row r="13" spans="1:9">
      <c r="E13" s="11"/>
      <c r="G13" s="13"/>
      <c r="H13" s="14"/>
      <c r="I13" s="16"/>
    </row>
    <row r="14" spans="1:9">
      <c r="D14" s="4" t="s">
        <v>1736</v>
      </c>
      <c r="E14" s="5"/>
      <c r="G14" s="13"/>
      <c r="H14" s="17"/>
      <c r="I14" s="16"/>
    </row>
    <row r="15" spans="1:9">
      <c r="D15" s="7" t="s">
        <v>77</v>
      </c>
      <c r="E15" s="8">
        <v>35</v>
      </c>
      <c r="G15" s="13"/>
      <c r="H15" s="14"/>
      <c r="I15" s="16"/>
    </row>
    <row r="16" spans="1:9">
      <c r="D16" s="7" t="s">
        <v>1737</v>
      </c>
      <c r="E16" s="8">
        <v>15</v>
      </c>
      <c r="G16" s="13"/>
      <c r="H16" s="14"/>
      <c r="I16" s="16"/>
    </row>
    <row r="17" spans="4:9">
      <c r="D17" s="7" t="s">
        <v>84</v>
      </c>
      <c r="E17" s="8"/>
      <c r="G17" s="13"/>
      <c r="H17" s="14"/>
      <c r="I17" s="16"/>
    </row>
    <row r="18" spans="4:9">
      <c r="D18" s="7" t="s">
        <v>135</v>
      </c>
      <c r="E18" s="8"/>
    </row>
    <row r="19" spans="4:9">
      <c r="D19" s="7" t="s">
        <v>81</v>
      </c>
      <c r="E19" s="8"/>
      <c r="G19" s="12" t="s">
        <v>1698</v>
      </c>
      <c r="H19" s="12" t="s">
        <v>1738</v>
      </c>
      <c r="I19" s="12" t="s">
        <v>1698</v>
      </c>
    </row>
    <row r="20" spans="4:9">
      <c r="E20" s="11"/>
      <c r="G20" s="13" t="s">
        <v>8</v>
      </c>
      <c r="H20" s="14" t="s">
        <v>1739</v>
      </c>
      <c r="I20" s="13">
        <v>-1</v>
      </c>
    </row>
    <row r="21" spans="4:9">
      <c r="D21" s="4" t="s">
        <v>43</v>
      </c>
      <c r="E21" s="5"/>
      <c r="G21" s="13"/>
      <c r="H21" s="14" t="s">
        <v>9</v>
      </c>
      <c r="I21" s="13">
        <v>0</v>
      </c>
    </row>
    <row r="22" ht="27" spans="4:9">
      <c r="D22" s="7" t="s">
        <v>77</v>
      </c>
      <c r="E22" s="8">
        <v>10</v>
      </c>
      <c r="G22" s="13"/>
      <c r="H22" s="14" t="s">
        <v>1740</v>
      </c>
      <c r="I22" s="13">
        <v>1</v>
      </c>
    </row>
    <row r="23" spans="4:9">
      <c r="D23" s="7" t="s">
        <v>1737</v>
      </c>
      <c r="E23" s="8">
        <v>7</v>
      </c>
      <c r="G23" s="13" t="s">
        <v>11</v>
      </c>
      <c r="H23" s="14" t="s">
        <v>1741</v>
      </c>
      <c r="I23" s="13">
        <v>-1</v>
      </c>
    </row>
    <row r="24" ht="27" spans="4:9">
      <c r="D24" s="7" t="s">
        <v>84</v>
      </c>
      <c r="E24" s="8">
        <v>4</v>
      </c>
      <c r="G24" s="13"/>
      <c r="H24" s="14" t="s">
        <v>12</v>
      </c>
      <c r="I24" s="13">
        <v>0</v>
      </c>
    </row>
    <row r="25" ht="27" spans="4:9">
      <c r="D25" s="7" t="s">
        <v>135</v>
      </c>
      <c r="E25" s="8">
        <v>5</v>
      </c>
      <c r="G25" s="13"/>
      <c r="H25" s="14" t="s">
        <v>1742</v>
      </c>
      <c r="I25" s="13">
        <v>1</v>
      </c>
    </row>
    <row r="26" spans="4:9">
      <c r="D26" s="7" t="s">
        <v>81</v>
      </c>
      <c r="E26" s="8">
        <v>4</v>
      </c>
      <c r="G26" s="13" t="s">
        <v>14</v>
      </c>
      <c r="H26" s="14" t="s">
        <v>1743</v>
      </c>
      <c r="I26" s="13">
        <v>-1</v>
      </c>
    </row>
    <row r="27" spans="4:9">
      <c r="G27" s="13"/>
      <c r="H27" s="14" t="s">
        <v>15</v>
      </c>
      <c r="I27" s="13">
        <v>0</v>
      </c>
    </row>
    <row r="28" spans="4:9">
      <c r="G28" s="13"/>
      <c r="H28" s="14" t="s">
        <v>1744</v>
      </c>
      <c r="I28" s="13">
        <v>1</v>
      </c>
    </row>
    <row r="29" spans="4:9">
      <c r="G29" s="13" t="s">
        <v>17</v>
      </c>
      <c r="H29" s="14" t="s">
        <v>1745</v>
      </c>
      <c r="I29" s="13">
        <v>-1</v>
      </c>
    </row>
    <row r="30" spans="4:9">
      <c r="G30" s="13"/>
      <c r="H30" s="14" t="s">
        <v>18</v>
      </c>
      <c r="I30" s="13">
        <v>0</v>
      </c>
    </row>
    <row r="31" spans="4:9">
      <c r="G31" s="13"/>
      <c r="H31" s="14" t="s">
        <v>1746</v>
      </c>
      <c r="I31" s="13">
        <v>1</v>
      </c>
    </row>
    <row r="34" spans="8:9">
      <c r="H34" s="12" t="s">
        <v>23</v>
      </c>
      <c r="I34" s="12" t="s">
        <v>1698</v>
      </c>
    </row>
    <row r="35" spans="8:9">
      <c r="H35" s="18" t="s">
        <v>1747</v>
      </c>
      <c r="I35" s="16">
        <v>1.5</v>
      </c>
    </row>
    <row r="36" spans="8:9">
      <c r="H36" s="18" t="s">
        <v>24</v>
      </c>
      <c r="I36" s="16">
        <v>1</v>
      </c>
    </row>
    <row r="37" spans="8:9">
      <c r="H37" s="18" t="s">
        <v>1748</v>
      </c>
      <c r="I37" s="16">
        <v>0.6</v>
      </c>
    </row>
    <row r="40" spans="8:9">
      <c r="H40" s="12" t="s">
        <v>26</v>
      </c>
      <c r="I40" s="12" t="s">
        <v>1698</v>
      </c>
    </row>
    <row r="41" spans="8:9">
      <c r="H41" s="18" t="s">
        <v>27</v>
      </c>
      <c r="I41" s="16">
        <v>0.8</v>
      </c>
    </row>
    <row r="42" spans="8:9">
      <c r="H42" s="18" t="s">
        <v>1749</v>
      </c>
      <c r="I42" s="16">
        <v>1</v>
      </c>
    </row>
    <row r="43" spans="8:9">
      <c r="H43" s="18" t="s">
        <v>1750</v>
      </c>
      <c r="I43" s="16">
        <v>1.2</v>
      </c>
    </row>
    <row r="45" spans="8:9">
      <c r="H45" s="12" t="s">
        <v>20</v>
      </c>
      <c r="I45" s="12" t="s">
        <v>1698</v>
      </c>
    </row>
    <row r="46" spans="8:9">
      <c r="H46" s="18" t="s">
        <v>21</v>
      </c>
      <c r="I46" s="16">
        <v>1</v>
      </c>
    </row>
    <row r="47" ht="27" spans="8:9">
      <c r="H47" s="18" t="s">
        <v>1751</v>
      </c>
      <c r="I47" s="16">
        <v>1.1</v>
      </c>
    </row>
    <row r="48" ht="27" spans="8:9">
      <c r="H48" s="18" t="s">
        <v>1752</v>
      </c>
      <c r="I48" s="16">
        <v>1.3</v>
      </c>
    </row>
    <row r="50" spans="8:9">
      <c r="H50" s="4" t="s">
        <v>1753</v>
      </c>
      <c r="I50" s="5"/>
    </row>
    <row r="51" spans="8:9">
      <c r="H51" s="19" t="s">
        <v>1754</v>
      </c>
      <c r="I51" s="15">
        <v>1.39</v>
      </c>
    </row>
    <row r="52" spans="8:9">
      <c r="H52" s="19" t="s">
        <v>1755</v>
      </c>
      <c r="I52" s="15">
        <v>1.21</v>
      </c>
    </row>
    <row r="53" spans="8:9">
      <c r="H53" s="19" t="s">
        <v>1756</v>
      </c>
      <c r="I53" s="15">
        <v>1.1</v>
      </c>
    </row>
    <row r="54" spans="8:9">
      <c r="H54" s="19" t="s">
        <v>1</v>
      </c>
      <c r="I54" s="15">
        <v>1</v>
      </c>
    </row>
  </sheetData>
  <sheetProtection algorithmName="SHA-512" hashValue="3vXrWTaItgAjAM3kfR0UnqSTGcuzw681IvDe0/Pi3S8CH8D5tmfXEhsVe1r6dQaV62imudC5d2vtetMx6zEXjw==" saltValue="0WEKhABLPN68ShtKzIslAA==" spinCount="100000" sheet="1" objects="1" scenarios="1"/>
  <mergeCells count="9">
    <mergeCell ref="D4:E4"/>
    <mergeCell ref="D9:E9"/>
    <mergeCell ref="D14:E14"/>
    <mergeCell ref="D21:E21"/>
    <mergeCell ref="H50:I50"/>
    <mergeCell ref="G20:G22"/>
    <mergeCell ref="G23:G25"/>
    <mergeCell ref="G26:G28"/>
    <mergeCell ref="G29:G3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C6" sqref="C6"/>
    </sheetView>
  </sheetViews>
  <sheetFormatPr defaultColWidth="9" defaultRowHeight="14.25" outlineLevelRow="2"/>
  <sheetData>
    <row r="1" spans="1:1">
      <c r="A1" s="1" t="s">
        <v>1757</v>
      </c>
    </row>
    <row r="2" spans="1:1">
      <c r="A2" s="2" t="s">
        <v>1758</v>
      </c>
    </row>
    <row r="3" spans="1:1">
      <c r="A3" s="2" t="s">
        <v>1759</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rangeList sheetStid="1" master="" otherUserPermission="visible"/>
  <rangeList sheetStid="2" master="" otherUserPermission="visible"/>
  <rangeList sheetStid="3"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项目特征</vt:lpstr>
      <vt:lpstr>规模估算</vt:lpstr>
      <vt:lpstr>开发费用估算</vt:lpstr>
      <vt:lpstr>模板使用说明&amp;基础参数</vt:lpstr>
      <vt:lpstr>其他特殊规则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开发费用评估</dc:subject>
  <dc:creator>Bob Yu</dc:creator>
  <cp:lastModifiedBy>xwj</cp:lastModifiedBy>
  <dcterms:created xsi:type="dcterms:W3CDTF">2015-06-05T18:19:00Z</dcterms:created>
  <dcterms:modified xsi:type="dcterms:W3CDTF">2026-07-18T07:28:23Z</dcterms:modified>
  <cp:category>模板</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C97E12BEFC554A4B9F15BAB11E992143_13</vt:lpwstr>
  </property>
  <property fmtid="{D5CDD505-2E9C-101B-9397-08002B2CF9AE}" pid="3" name="KSOProductBuildVer">
    <vt:lpwstr>2052-12.1.0.26884</vt:lpwstr>
  </property>
  <property fmtid="{D5CDD505-2E9C-101B-9397-08002B2CF9AE}" pid="4" name="CalculationRule">
    <vt:i4>0</vt:i4>
  </property>
</Properties>
</file>